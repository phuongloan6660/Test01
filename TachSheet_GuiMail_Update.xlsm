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GOC\Desktop\TachFile\"/>
    </mc:Choice>
  </mc:AlternateContent>
  <xr:revisionPtr revIDLastSave="0" documentId="13_ncr:1_{138AF38C-9A55-4A23-A3FE-F36E6E6EA215}" xr6:coauthVersionLast="45" xr6:coauthVersionMax="45" xr10:uidLastSave="{00000000-0000-0000-0000-000000000000}"/>
  <bookViews>
    <workbookView xWindow="-120" yWindow="-120" windowWidth="29040" windowHeight="15840" activeTab="2" xr2:uid="{B2B85DBD-E250-4048-ABF5-BB74F6E21F3B}"/>
  </bookViews>
  <sheets>
    <sheet name="Email" sheetId="12" r:id="rId1"/>
    <sheet name="Inbox" sheetId="13" state="hidden" r:id="rId2"/>
    <sheet name="Data" sheetId="15" r:id="rId3"/>
    <sheet name="BangLuong" sheetId="22" r:id="rId4"/>
    <sheet name="PhieuLuong" sheetId="29" r:id="rId5"/>
    <sheet name="Msgbox" sheetId="16" state="hidden" r:id="rId6"/>
    <sheet name="Mau1" sheetId="21" state="hidden" r:id="rId7"/>
  </sheets>
  <functionGroups builtInGroupCount="19"/>
  <definedNames>
    <definedName name="KhongThanhCong">Email!$D$13</definedName>
    <definedName name="_xlnm.Print_Area" localSheetId="4">PhieuLuong!$B$3:$W$10</definedName>
    <definedName name="ThanhCong">Email!$D$12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15" l="1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7" i="15"/>
  <c r="V42" i="22" l="1"/>
  <c r="U42" i="22"/>
  <c r="V11" i="22"/>
  <c r="V12" i="22"/>
  <c r="V13" i="22"/>
  <c r="V14" i="22"/>
  <c r="V15" i="22"/>
  <c r="V16" i="22"/>
  <c r="V17" i="22"/>
  <c r="V18" i="22"/>
  <c r="V19" i="22"/>
  <c r="V20" i="22"/>
  <c r="V21" i="22"/>
  <c r="V22" i="22"/>
  <c r="V23" i="22"/>
  <c r="V24" i="22"/>
  <c r="V25" i="22"/>
  <c r="V26" i="22"/>
  <c r="V27" i="22"/>
  <c r="V28" i="22"/>
  <c r="V29" i="22"/>
  <c r="V30" i="22"/>
  <c r="V31" i="22"/>
  <c r="V32" i="22"/>
  <c r="V33" i="22"/>
  <c r="V34" i="22"/>
  <c r="V35" i="22"/>
  <c r="V36" i="22"/>
  <c r="V37" i="22"/>
  <c r="V38" i="22"/>
  <c r="V39" i="22"/>
  <c r="V40" i="22"/>
  <c r="V41" i="22"/>
  <c r="V10" i="22"/>
  <c r="U11" i="22"/>
  <c r="U12" i="22"/>
  <c r="U13" i="22"/>
  <c r="U14" i="22"/>
  <c r="U15" i="22"/>
  <c r="U16" i="22"/>
  <c r="U17" i="22"/>
  <c r="U18" i="22"/>
  <c r="U19" i="22"/>
  <c r="U20" i="22"/>
  <c r="U21" i="22"/>
  <c r="U22" i="22"/>
  <c r="U23" i="22"/>
  <c r="U24" i="22"/>
  <c r="U25" i="22"/>
  <c r="U26" i="22"/>
  <c r="U27" i="22"/>
  <c r="U28" i="22"/>
  <c r="U29" i="22"/>
  <c r="U30" i="22"/>
  <c r="U31" i="22"/>
  <c r="U32" i="22"/>
  <c r="U33" i="22"/>
  <c r="U34" i="22"/>
  <c r="U35" i="22"/>
  <c r="U36" i="22"/>
  <c r="U37" i="22"/>
  <c r="U38" i="22"/>
  <c r="U39" i="22"/>
  <c r="U40" i="22"/>
  <c r="U41" i="22"/>
  <c r="U10" i="22"/>
  <c r="T42" i="22"/>
  <c r="T11" i="22"/>
  <c r="T12" i="22"/>
  <c r="T13" i="22"/>
  <c r="T14" i="22"/>
  <c r="T15" i="22"/>
  <c r="T16" i="22"/>
  <c r="T17" i="22"/>
  <c r="T18" i="22"/>
  <c r="T19" i="22"/>
  <c r="T20" i="22"/>
  <c r="T21" i="22"/>
  <c r="T22" i="22"/>
  <c r="T23" i="22"/>
  <c r="T24" i="22"/>
  <c r="T25" i="22"/>
  <c r="T26" i="22"/>
  <c r="T27" i="22"/>
  <c r="T28" i="22"/>
  <c r="T29" i="22"/>
  <c r="T30" i="22"/>
  <c r="T31" i="22"/>
  <c r="T32" i="22"/>
  <c r="T33" i="22"/>
  <c r="T34" i="22"/>
  <c r="T35" i="22"/>
  <c r="T36" i="22"/>
  <c r="T37" i="22"/>
  <c r="T38" i="22"/>
  <c r="T39" i="22"/>
  <c r="T40" i="22"/>
  <c r="T41" i="22"/>
  <c r="T10" i="22"/>
  <c r="Q42" i="22"/>
  <c r="Q11" i="22"/>
  <c r="Q12" i="22"/>
  <c r="Q13" i="22"/>
  <c r="Q14" i="22"/>
  <c r="Q15" i="22"/>
  <c r="Q16" i="22"/>
  <c r="Q17" i="22"/>
  <c r="Q18" i="22"/>
  <c r="Q19" i="22"/>
  <c r="Q20" i="22"/>
  <c r="Q21" i="22"/>
  <c r="Q22" i="22"/>
  <c r="Q23" i="22"/>
  <c r="Q24" i="22"/>
  <c r="Q25" i="22"/>
  <c r="Q26" i="22"/>
  <c r="Q27" i="22"/>
  <c r="Q28" i="22"/>
  <c r="Q29" i="22"/>
  <c r="Q30" i="22"/>
  <c r="Q31" i="22"/>
  <c r="Q32" i="22"/>
  <c r="Q33" i="22"/>
  <c r="Q34" i="22"/>
  <c r="Q35" i="22"/>
  <c r="Q36" i="22"/>
  <c r="Q37" i="22"/>
  <c r="Q38" i="22"/>
  <c r="Q39" i="22"/>
  <c r="Q40" i="22"/>
  <c r="Q41" i="22"/>
  <c r="Q10" i="22"/>
  <c r="P42" i="22"/>
  <c r="N42" i="22"/>
  <c r="L42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10" i="22"/>
  <c r="J42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10" i="22"/>
  <c r="B5" i="29" l="1"/>
  <c r="B5" i="22"/>
  <c r="X12" i="21" l="1"/>
  <c r="I9" i="21"/>
  <c r="K8" i="21"/>
  <c r="L17" i="21" l="1"/>
  <c r="R17" i="21" s="1"/>
  <c r="I17" i="21"/>
  <c r="K17" i="21" s="1"/>
  <c r="L16" i="21"/>
  <c r="O16" i="21" s="1"/>
  <c r="I16" i="21"/>
  <c r="K16" i="21" s="1"/>
  <c r="W15" i="21"/>
  <c r="V15" i="21"/>
  <c r="J15" i="21"/>
  <c r="H15" i="21"/>
  <c r="G15" i="21"/>
  <c r="F15" i="21"/>
  <c r="E15" i="21"/>
  <c r="D15" i="21"/>
  <c r="L13" i="21"/>
  <c r="O13" i="21" s="1"/>
  <c r="I13" i="21"/>
  <c r="K13" i="21" s="1"/>
  <c r="L12" i="21"/>
  <c r="T12" i="21" s="1"/>
  <c r="I12" i="21"/>
  <c r="K12" i="21" s="1"/>
  <c r="L11" i="21"/>
  <c r="S11" i="21" s="1"/>
  <c r="I11" i="21"/>
  <c r="K11" i="21" s="1"/>
  <c r="L10" i="21"/>
  <c r="P10" i="21" s="1"/>
  <c r="I10" i="21"/>
  <c r="K10" i="21" s="1"/>
  <c r="N9" i="21"/>
  <c r="L9" i="21"/>
  <c r="M9" i="21" s="1"/>
  <c r="L8" i="21"/>
  <c r="R8" i="21" s="1"/>
  <c r="I8" i="21"/>
  <c r="W7" i="21"/>
  <c r="V7" i="21"/>
  <c r="J7" i="21"/>
  <c r="H7" i="21"/>
  <c r="H19" i="21" s="1"/>
  <c r="G7" i="21"/>
  <c r="G19" i="21" s="1"/>
  <c r="F7" i="21"/>
  <c r="F19" i="21" s="1"/>
  <c r="E7" i="21"/>
  <c r="E19" i="21" s="1"/>
  <c r="D7" i="21"/>
  <c r="N13" i="21" l="1"/>
  <c r="R13" i="21"/>
  <c r="S17" i="21"/>
  <c r="O10" i="21"/>
  <c r="D19" i="21"/>
  <c r="I7" i="21"/>
  <c r="P16" i="21"/>
  <c r="R9" i="21"/>
  <c r="N12" i="21"/>
  <c r="V19" i="21"/>
  <c r="P12" i="21"/>
  <c r="S12" i="21"/>
  <c r="S8" i="21"/>
  <c r="M10" i="21"/>
  <c r="M12" i="21"/>
  <c r="M13" i="21"/>
  <c r="J19" i="21"/>
  <c r="R10" i="21"/>
  <c r="O12" i="21"/>
  <c r="P13" i="21"/>
  <c r="I15" i="21"/>
  <c r="I19" i="21" s="1"/>
  <c r="K15" i="21"/>
  <c r="W19" i="21"/>
  <c r="O9" i="21"/>
  <c r="R12" i="21"/>
  <c r="U12" i="21" s="1"/>
  <c r="S13" i="21"/>
  <c r="T11" i="21"/>
  <c r="L7" i="21"/>
  <c r="M8" i="21"/>
  <c r="P9" i="21"/>
  <c r="S10" i="21"/>
  <c r="N11" i="21"/>
  <c r="T13" i="21"/>
  <c r="R16" i="21"/>
  <c r="M17" i="21"/>
  <c r="T17" i="21"/>
  <c r="U17" i="21" s="1"/>
  <c r="X17" i="21" s="1"/>
  <c r="N8" i="21"/>
  <c r="T10" i="21"/>
  <c r="O11" i="21"/>
  <c r="S16" i="21"/>
  <c r="S15" i="21" s="1"/>
  <c r="N17" i="21"/>
  <c r="O8" i="21"/>
  <c r="P11" i="21"/>
  <c r="T16" i="21"/>
  <c r="T15" i="21" s="1"/>
  <c r="O17" i="21"/>
  <c r="O15" i="21" s="1"/>
  <c r="P8" i="21"/>
  <c r="K9" i="21"/>
  <c r="S9" i="21"/>
  <c r="N10" i="21"/>
  <c r="L15" i="21"/>
  <c r="M16" i="21"/>
  <c r="P17" i="21"/>
  <c r="P15" i="21" s="1"/>
  <c r="N16" i="21"/>
  <c r="T8" i="21"/>
  <c r="M11" i="21"/>
  <c r="T9" i="21"/>
  <c r="R11" i="21"/>
  <c r="U13" i="21" l="1"/>
  <c r="X13" i="21" s="1"/>
  <c r="Q9" i="21"/>
  <c r="Q10" i="21"/>
  <c r="P7" i="21"/>
  <c r="Q11" i="21"/>
  <c r="N15" i="21"/>
  <c r="U10" i="21"/>
  <c r="X10" i="21" s="1"/>
  <c r="Q12" i="21"/>
  <c r="U9" i="21"/>
  <c r="X9" i="21" s="1"/>
  <c r="S7" i="21"/>
  <c r="S19" i="21" s="1"/>
  <c r="Q17" i="21"/>
  <c r="Q13" i="21"/>
  <c r="O7" i="21"/>
  <c r="M15" i="21"/>
  <c r="Q16" i="21"/>
  <c r="Q15" i="21" s="1"/>
  <c r="N7" i="21"/>
  <c r="N19" i="21" s="1"/>
  <c r="T7" i="21"/>
  <c r="T19" i="21" s="1"/>
  <c r="U16" i="21"/>
  <c r="R15" i="21"/>
  <c r="P19" i="21"/>
  <c r="K7" i="21"/>
  <c r="K19" i="21" s="1"/>
  <c r="O19" i="21"/>
  <c r="Q8" i="21"/>
  <c r="Q7" i="21" s="1"/>
  <c r="M7" i="21"/>
  <c r="U8" i="21"/>
  <c r="U11" i="21"/>
  <c r="X11" i="21" s="1"/>
  <c r="L19" i="21"/>
  <c r="R7" i="21"/>
  <c r="R19" i="21" s="1"/>
  <c r="M19" i="21" l="1"/>
  <c r="Q19" i="21"/>
  <c r="U15" i="21"/>
  <c r="X16" i="21"/>
  <c r="X15" i="21" s="1"/>
  <c r="U7" i="21"/>
  <c r="U19" i="21" s="1"/>
  <c r="X8" i="21"/>
  <c r="X7" i="21" s="1"/>
  <c r="X19" i="21" s="1"/>
  <c r="C20" i="12" l="1"/>
  <c r="C21" i="12"/>
  <c r="C22" i="12"/>
  <c r="C23" i="12"/>
  <c r="C16" i="12" l="1"/>
  <c r="C14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LENGOC</author>
  </authors>
  <commentList>
    <comment ref="A11" authorId="0" shapeId="0" xr:uid="{503AA43B-8447-4677-9488-3EF6DA18150A}">
      <text>
        <r>
          <rPr>
            <b/>
            <sz val="9"/>
            <color indexed="81"/>
            <rFont val="Tahoma"/>
            <family val="2"/>
          </rPr>
          <t>Hãy chọn giai đoạn để gửi Email</t>
        </r>
      </text>
    </comment>
    <comment ref="D12" authorId="0" shapeId="0" xr:uid="{7FA6EED1-02B0-428C-A091-CC330E97F3CF}">
      <text>
        <r>
          <rPr>
            <b/>
            <sz val="9"/>
            <color indexed="81"/>
            <rFont val="Tahoma"/>
            <family val="2"/>
          </rPr>
          <t>LENGOC:</t>
        </r>
        <r>
          <rPr>
            <sz val="9"/>
            <color indexed="81"/>
            <rFont val="Tahoma"/>
            <family val="2"/>
          </rPr>
          <t xml:space="preserve">
KHÔNG ĐƯỢC XÓA Ô NÀY</t>
        </r>
      </text>
    </comment>
    <comment ref="D13" authorId="0" shapeId="0" xr:uid="{ACA49E06-DF40-4FE9-8EB7-7668F44FABA6}">
      <text>
        <r>
          <rPr>
            <b/>
            <sz val="9"/>
            <color indexed="81"/>
            <rFont val="Tahoma"/>
            <family val="2"/>
          </rPr>
          <t>LENGOC:</t>
        </r>
        <r>
          <rPr>
            <sz val="9"/>
            <color indexed="81"/>
            <rFont val="Tahoma"/>
            <family val="2"/>
          </rPr>
          <t xml:space="preserve">
KHÔNG ĐƯỢC XÓA Ô NÀY</t>
        </r>
      </text>
    </comment>
  </commentList>
</comments>
</file>

<file path=xl/sharedStrings.xml><?xml version="1.0" encoding="utf-8"?>
<sst xmlns="http://schemas.openxmlformats.org/spreadsheetml/2006/main" count="615" uniqueCount="334">
  <si>
    <t>STT</t>
  </si>
  <si>
    <t>Địa chỉ Email</t>
  </si>
  <si>
    <t>A. Giai đoạn:</t>
  </si>
  <si>
    <t>Giai đoạn</t>
  </si>
  <si>
    <t>From:</t>
  </si>
  <si>
    <t>Địa chỉ email của người gửi</t>
  </si>
  <si>
    <t>Ghi chú</t>
  </si>
  <si>
    <t>To:</t>
  </si>
  <si>
    <t>CC:</t>
  </si>
  <si>
    <t>BCC:</t>
  </si>
  <si>
    <t>Subject :</t>
  </si>
  <si>
    <t>Attachments:</t>
  </si>
  <si>
    <t>Điền đường dẫn đầy đủ của File cần attachments</t>
  </si>
  <si>
    <t>Email body:</t>
  </si>
  <si>
    <t>Tiêu đề</t>
  </si>
  <si>
    <t>Nội dung Email</t>
  </si>
  <si>
    <t>Nhân viên</t>
  </si>
  <si>
    <t>Gửi sếp đơn yêu cầu mua hàng (PR)</t>
  </si>
  <si>
    <t>Gửi anh đơn yêu cầu mua hàng (PR)</t>
  </si>
  <si>
    <t>Đợt 2 - Công trình ABC</t>
  </si>
  <si>
    <t>Gửi em đơn yêu cầu mua hàng (PR)</t>
  </si>
  <si>
    <t>Họ và tên</t>
  </si>
  <si>
    <r>
      <rPr>
        <b/>
        <sz val="12"/>
        <color rgb="FFFF0000"/>
        <rFont val="Times New Roman"/>
        <family val="1"/>
      </rPr>
      <t>1</t>
    </r>
    <r>
      <rPr>
        <sz val="11"/>
        <color theme="1"/>
        <rFont val="Times New Roman"/>
        <family val="1"/>
      </rPr>
      <t>. Chỉ huy trưởng/ Thủ kho lập và gửi phiếu PR cho Phó tổng giám đốc phê duyệt</t>
    </r>
  </si>
  <si>
    <r>
      <rPr>
        <b/>
        <sz val="12"/>
        <color rgb="FFFF0000"/>
        <rFont val="Times New Roman"/>
        <family val="1"/>
      </rPr>
      <t>2</t>
    </r>
    <r>
      <rPr>
        <sz val="11"/>
        <color theme="1"/>
        <rFont val="Times New Roman"/>
        <family val="1"/>
      </rPr>
      <t>. Phó tổng giám đốc phê duyệt, và gửi phiếu PR cho Tổng giám đốc phê duyệt</t>
    </r>
  </si>
  <si>
    <r>
      <rPr>
        <b/>
        <sz val="12"/>
        <color rgb="FFFF0000"/>
        <rFont val="Times New Roman"/>
        <family val="1"/>
      </rPr>
      <t>3</t>
    </r>
    <r>
      <rPr>
        <sz val="11"/>
        <color theme="1"/>
        <rFont val="Times New Roman"/>
        <family val="1"/>
      </rPr>
      <t>. Tổng giám đốc phê duyệt, và gửi phiếu PR cho Kế toán trưởng phê duyệt</t>
    </r>
  </si>
  <si>
    <r>
      <rPr>
        <b/>
        <sz val="12"/>
        <color rgb="FFFF0000"/>
        <rFont val="Times New Roman"/>
        <family val="1"/>
      </rPr>
      <t>4</t>
    </r>
    <r>
      <rPr>
        <sz val="11"/>
        <color theme="1"/>
        <rFont val="Times New Roman"/>
        <family val="1"/>
      </rPr>
      <t>. Kế toán trưởng phê duyệt, và gửi phiếu PR cho Trưởng phòng cung ứng vật tư</t>
    </r>
  </si>
  <si>
    <t>Gửi email thành công</t>
  </si>
  <si>
    <t>Không thể gửi email</t>
  </si>
  <si>
    <t>XYZ - Chỉ huy trưởng công trình ABC</t>
  </si>
  <si>
    <t>TRẠNG THÁI</t>
  </si>
  <si>
    <t>GỬI MAIL TỰ ĐỘNG OUTLOOK</t>
  </si>
  <si>
    <t>Ghi chú:</t>
  </si>
  <si>
    <t>Mã</t>
  </si>
  <si>
    <t>Đơn vị</t>
  </si>
  <si>
    <r>
      <t>- Chọn ô "</t>
    </r>
    <r>
      <rPr>
        <b/>
        <sz val="11"/>
        <color theme="1"/>
        <rFont val="Times New Roman"/>
        <family val="1"/>
      </rPr>
      <t>A11</t>
    </r>
    <r>
      <rPr>
        <sz val="11"/>
        <color theme="1"/>
        <rFont val="Times New Roman"/>
        <family val="1"/>
      </rPr>
      <t>" để điều chỉnh nội dung và tiêu đề Email</t>
    </r>
  </si>
  <si>
    <r>
      <t>- Trong file đã có code chèn "</t>
    </r>
    <r>
      <rPr>
        <b/>
        <sz val="11"/>
        <color theme="1"/>
        <rFont val="Times New Roman"/>
        <family val="1"/>
      </rPr>
      <t>Table</t>
    </r>
    <r>
      <rPr>
        <sz val="11"/>
        <color theme="1"/>
        <rFont val="Times New Roman"/>
        <family val="1"/>
      </rPr>
      <t>" vào Email. Các bạn tự phát triển thêm</t>
    </r>
  </si>
  <si>
    <t>ĐÂY LÀ SHEET CHỨA NỘI DUNG INBOX</t>
  </si>
  <si>
    <t>BẢNG 2: NỘI DUNG CỦA EMAIL PR (KHI CÓ SỰ THAY ĐỔI THÌ THAY ĐỔI Ở BẢNG NÀY</t>
  </si>
  <si>
    <t>BẢNG 1. GỬI EMAIL</t>
  </si>
  <si>
    <t>BẢNG 3: DANH SÁCH EMAIL NHÂN VIÊN</t>
  </si>
  <si>
    <t>BẢNG 4: THỐNG KÊ KẾT QUẢ GỬI MAIL</t>
  </si>
  <si>
    <t>THỜI GIAN GỬI</t>
  </si>
  <si>
    <r>
      <t>- Thay đổi vùng dữ liệu "</t>
    </r>
    <r>
      <rPr>
        <b/>
        <sz val="11"/>
        <color theme="1"/>
        <rFont val="Times New Roman"/>
        <family val="1"/>
      </rPr>
      <t>B20:D23</t>
    </r>
    <r>
      <rPr>
        <sz val="11"/>
        <color theme="1"/>
        <rFont val="Times New Roman"/>
        <family val="1"/>
      </rPr>
      <t xml:space="preserve">" của </t>
    </r>
    <r>
      <rPr>
        <b/>
        <sz val="12"/>
        <color rgb="FFFF0000"/>
        <rFont val="Times New Roman"/>
        <family val="1"/>
      </rPr>
      <t>Bảng 2</t>
    </r>
    <r>
      <rPr>
        <sz val="11"/>
        <color theme="1"/>
        <rFont val="Times New Roman"/>
        <family val="1"/>
      </rPr>
      <t xml:space="preserve"> để điều chỉnh nội dung Email</t>
    </r>
  </si>
  <si>
    <r>
      <t xml:space="preserve">- Điền địa chỉ Email vào từ ô </t>
    </r>
    <r>
      <rPr>
        <b/>
        <sz val="11"/>
        <color theme="1"/>
        <rFont val="Times New Roman"/>
        <family val="1"/>
      </rPr>
      <t>C29</t>
    </r>
    <r>
      <rPr>
        <sz val="11"/>
        <color theme="1"/>
        <rFont val="Times New Roman"/>
        <family val="1"/>
      </rPr>
      <t xml:space="preserve"> ở </t>
    </r>
    <r>
      <rPr>
        <b/>
        <sz val="12"/>
        <color rgb="FFFF0000"/>
        <rFont val="Times New Roman"/>
        <family val="1"/>
      </rPr>
      <t>Bảng 3</t>
    </r>
  </si>
  <si>
    <r>
      <t>- Dùng "</t>
    </r>
    <r>
      <rPr>
        <b/>
        <sz val="11"/>
        <color theme="1"/>
        <rFont val="Times New Roman"/>
        <family val="1"/>
      </rPr>
      <t>JointEmailOutlook</t>
    </r>
    <r>
      <rPr>
        <sz val="11"/>
        <color theme="1"/>
        <rFont val="Times New Roman"/>
        <family val="1"/>
      </rPr>
      <t>" để nối danh sách Email cần gửi (TH gửi nhiều người)</t>
    </r>
  </si>
  <si>
    <r>
      <t>- Dữ liệu kết quả thông báo sẽ trả về tại bảng kết quả (</t>
    </r>
    <r>
      <rPr>
        <b/>
        <sz val="12"/>
        <color rgb="FFFF0000"/>
        <rFont val="Times New Roman"/>
        <family val="1"/>
      </rPr>
      <t>Bảng 4</t>
    </r>
    <r>
      <rPr>
        <sz val="11"/>
        <color theme="1"/>
        <rFont val="Times New Roman"/>
        <family val="1"/>
      </rPr>
      <t>)</t>
    </r>
  </si>
  <si>
    <t>Tên file</t>
  </si>
  <si>
    <t>Tên sheet</t>
  </si>
  <si>
    <t>Tên file nguồn cũ</t>
  </si>
  <si>
    <t>Tên file nguồn mới</t>
  </si>
  <si>
    <t>THÔNG BÁO MSGBOX</t>
  </si>
  <si>
    <t>Thông báo!</t>
  </si>
  <si>
    <t>Cảnh báo!</t>
  </si>
  <si>
    <t>TIÊU ĐỀ</t>
  </si>
  <si>
    <t>NỘI DUNG</t>
  </si>
  <si>
    <t>Không có dữ liệu. Hãy kiểm tra lại file nguồn</t>
  </si>
  <si>
    <t>File không thể mở hoặc không tồn tại. Hãy chọn file khác.</t>
  </si>
  <si>
    <t>Phiên bản Excel nguồn và đích không tương thích. Hãy kiểm tra lại file nguồn.</t>
  </si>
  <si>
    <t>Không có sheet nào được chọn. Hãy chọn sheet cần copy.</t>
  </si>
  <si>
    <t>Bạn có muốn ngắt liên kết và xóa name rác không?</t>
  </si>
  <si>
    <t>Bạn có muốn copy dữ liệu từ file đang mở này không?</t>
  </si>
  <si>
    <t>DANH SÁCH CÁN BỘ CÔNG NHÂN VIÊN</t>
  </si>
  <si>
    <t>HỌ TÊN</t>
  </si>
  <si>
    <t>MSNV</t>
  </si>
  <si>
    <t>CHỨC VỤ</t>
  </si>
  <si>
    <t>Tháng 01 năm 2020</t>
  </si>
  <si>
    <t>Đơn vị tính: Việt Nam Đồng</t>
  </si>
  <si>
    <t>Chức 
vụ</t>
  </si>
  <si>
    <t>Lương
Chính</t>
  </si>
  <si>
    <t>Phụ cấp</t>
  </si>
  <si>
    <t>Tổng
Thu Nhập</t>
  </si>
  <si>
    <t>Ngày
công</t>
  </si>
  <si>
    <t>Tổng Lương
Thực Tế</t>
  </si>
  <si>
    <t>Lương
đóng BH</t>
  </si>
  <si>
    <t>Trích vào Chi phí Doanh nghiệp</t>
  </si>
  <si>
    <t>Trích vào Lương nhân viên</t>
  </si>
  <si>
    <t>Thuế 
TNCN</t>
  </si>
  <si>
    <t>Tạm
ứng</t>
  </si>
  <si>
    <t>Thực 
lĩnh</t>
  </si>
  <si>
    <t>Ghi Chú</t>
  </si>
  <si>
    <t>Trách nhiệm</t>
  </si>
  <si>
    <t>Ăn trưa</t>
  </si>
  <si>
    <t>Điện thoại</t>
  </si>
  <si>
    <t>Xăng xe</t>
  </si>
  <si>
    <t>KPCĐ
(2%)</t>
  </si>
  <si>
    <t>BHXH
(17,5%)</t>
  </si>
  <si>
    <t>BHYT
(3%)</t>
  </si>
  <si>
    <t>BHTN
(1%)</t>
  </si>
  <si>
    <t>Cộng
23,5%</t>
  </si>
  <si>
    <t>BHXH
(8%)</t>
  </si>
  <si>
    <t>BHYT
(1,5%)</t>
  </si>
  <si>
    <t>Cộng
10,5%</t>
  </si>
  <si>
    <t>A</t>
  </si>
  <si>
    <t xml:space="preserve">Bộ phận Quản lý </t>
  </si>
  <si>
    <t>GĐ</t>
  </si>
  <si>
    <t>P.GD</t>
  </si>
  <si>
    <t>KTT</t>
  </si>
  <si>
    <t>KTV</t>
  </si>
  <si>
    <t>KT</t>
  </si>
  <si>
    <t>NVVP</t>
  </si>
  <si>
    <t>B</t>
  </si>
  <si>
    <t>Bộ phận Bán hàng</t>
  </si>
  <si>
    <t>TPKD</t>
  </si>
  <si>
    <t>NVKD</t>
  </si>
  <si>
    <t xml:space="preserve">Tổng A + B </t>
  </si>
  <si>
    <t>Người lập biểu</t>
  </si>
  <si>
    <t>Kế toán trưởng</t>
  </si>
  <si>
    <t>Giám đốc Công ty</t>
  </si>
  <si>
    <t>(Ký, họ tên)</t>
  </si>
  <si>
    <t>(Ký, họ tên, đóng dấu)</t>
  </si>
  <si>
    <t>PHÒNG BAN</t>
  </si>
  <si>
    <t>Nguyễn Văn 1</t>
  </si>
  <si>
    <t>Nguyễn Văn 2</t>
  </si>
  <si>
    <t>Nguyễn Văn 3</t>
  </si>
  <si>
    <t>Tổng GĐ</t>
  </si>
  <si>
    <t>Phó Tổng GĐ</t>
  </si>
  <si>
    <t>I</t>
  </si>
  <si>
    <t>II</t>
  </si>
  <si>
    <t>Phòng HCNS</t>
  </si>
  <si>
    <t>Lê Văn 1</t>
  </si>
  <si>
    <t>Lê Văn 2</t>
  </si>
  <si>
    <t>Lê Văn 3</t>
  </si>
  <si>
    <t>Lê Văn 4</t>
  </si>
  <si>
    <t>Lê Văn 5</t>
  </si>
  <si>
    <t>Lê Văn 6</t>
  </si>
  <si>
    <t>Lê Văn 7</t>
  </si>
  <si>
    <t>Trưởng phòng</t>
  </si>
  <si>
    <t>Phó phòng</t>
  </si>
  <si>
    <t>Chuyên viên</t>
  </si>
  <si>
    <t>BẬC CV</t>
  </si>
  <si>
    <t>HỆ SỐ CV</t>
  </si>
  <si>
    <t>Trần Văn 1</t>
  </si>
  <si>
    <t>Hoàng Văn 1</t>
  </si>
  <si>
    <t>III</t>
  </si>
  <si>
    <t>Phòng Vật tư</t>
  </si>
  <si>
    <t>Phòng Thiết kế</t>
  </si>
  <si>
    <t>Trần Văn 2</t>
  </si>
  <si>
    <t>Trần Văn 3</t>
  </si>
  <si>
    <t>Trần Văn 4</t>
  </si>
  <si>
    <t>Trần Văn 5</t>
  </si>
  <si>
    <t>Trần Văn 6</t>
  </si>
  <si>
    <t>Trần Văn 7</t>
  </si>
  <si>
    <t>Trần Văn 8</t>
  </si>
  <si>
    <t>Trần Văn 9</t>
  </si>
  <si>
    <t>Trần Văn 10</t>
  </si>
  <si>
    <t>IV</t>
  </si>
  <si>
    <t>Ban Giám đốc</t>
  </si>
  <si>
    <t>Hoàng Thị 2</t>
  </si>
  <si>
    <t>Hoàng Thị 3</t>
  </si>
  <si>
    <t>Hoàng Thị 4</t>
  </si>
  <si>
    <t>CV1</t>
  </si>
  <si>
    <t>CV2</t>
  </si>
  <si>
    <t>CV3</t>
  </si>
  <si>
    <t>CV4</t>
  </si>
  <si>
    <t>VỊ TRÍ CHUYÊN  MÔN</t>
  </si>
  <si>
    <t>GHI  CHÚ</t>
  </si>
  <si>
    <t>V</t>
  </si>
  <si>
    <t>Phòng Tài chính kế toán</t>
  </si>
  <si>
    <t>Lương Thị 1</t>
  </si>
  <si>
    <t>Lương Thị 2</t>
  </si>
  <si>
    <t>Lương Thị 3</t>
  </si>
  <si>
    <t>Lương Thị 4</t>
  </si>
  <si>
    <t>Lương Thị 5</t>
  </si>
  <si>
    <t>Lái xe</t>
  </si>
  <si>
    <t>Lễ tân</t>
  </si>
  <si>
    <t>Hành chính</t>
  </si>
  <si>
    <t>Văn thư</t>
  </si>
  <si>
    <t>Nhân sự</t>
  </si>
  <si>
    <t>Truyền thông</t>
  </si>
  <si>
    <t>PP</t>
  </si>
  <si>
    <t>TP</t>
  </si>
  <si>
    <t>TGĐ</t>
  </si>
  <si>
    <t>P.TGĐ</t>
  </si>
  <si>
    <t>Tài chính dự án</t>
  </si>
  <si>
    <t>Kế toán tổng hợp</t>
  </si>
  <si>
    <t>Kế toán thuế</t>
  </si>
  <si>
    <t>Kế toán vật tư</t>
  </si>
  <si>
    <t>Lương Thị 6</t>
  </si>
  <si>
    <t>Thủ quỹ + lương</t>
  </si>
  <si>
    <t>Phụ trách thiết kế</t>
  </si>
  <si>
    <t>Phụ trách báo giá</t>
  </si>
  <si>
    <t>Chuyên viên thiết kế</t>
  </si>
  <si>
    <t>Chuyên viên dự toán</t>
  </si>
  <si>
    <t>Chuyên viên bóc tách chi tiết</t>
  </si>
  <si>
    <t>Chuyên viên kết cấu</t>
  </si>
  <si>
    <t>Phụ trách mua hàng NN</t>
  </si>
  <si>
    <t>Phụ trách mua hàng trong nước</t>
  </si>
  <si>
    <t>Phụ trách tờ khai, logistic</t>
  </si>
  <si>
    <t>BGĐ</t>
  </si>
  <si>
    <t>HNSC</t>
  </si>
  <si>
    <t>TK</t>
  </si>
  <si>
    <t>VT</t>
  </si>
  <si>
    <t>TCKT</t>
  </si>
  <si>
    <t xml:space="preserve">Số sheet copy được: </t>
  </si>
  <si>
    <t>Hãy chọn kiểu hiển thị dữ liệu của "KHO".
Chọn "Yes" để hiển thị dữ liệu của Sale (Chưa bán, giữ phòng);
Chọn "No" để hiển thị dữ liệu của Sale (Đã bán);
Chọn "Cancel" để hiển thị dữ liệu của Sale (Đã bán, chưa bán, giữ phòng, ế)</t>
  </si>
  <si>
    <t>NV0001</t>
  </si>
  <si>
    <t>NV0002</t>
  </si>
  <si>
    <t>NV0003</t>
  </si>
  <si>
    <t>NV0004</t>
  </si>
  <si>
    <t>NV0005</t>
  </si>
  <si>
    <t>NV0006</t>
  </si>
  <si>
    <t>NV0007</t>
  </si>
  <si>
    <t>NV0008</t>
  </si>
  <si>
    <t>NV0009</t>
  </si>
  <si>
    <t>NV0010</t>
  </si>
  <si>
    <t>NV0011</t>
  </si>
  <si>
    <t>NV0012</t>
  </si>
  <si>
    <t>NV0013</t>
  </si>
  <si>
    <t>NV0014</t>
  </si>
  <si>
    <t>NV0015</t>
  </si>
  <si>
    <t>NV0016</t>
  </si>
  <si>
    <t>NV0017</t>
  </si>
  <si>
    <t>NV0018</t>
  </si>
  <si>
    <t>NV0019</t>
  </si>
  <si>
    <t>NV0020</t>
  </si>
  <si>
    <t>NV0021</t>
  </si>
  <si>
    <t>NV0022</t>
  </si>
  <si>
    <t>NV0023</t>
  </si>
  <si>
    <t>NV0024</t>
  </si>
  <si>
    <t>NV0025</t>
  </si>
  <si>
    <t>NV0026</t>
  </si>
  <si>
    <t>NV0027</t>
  </si>
  <si>
    <t>NV0028</t>
  </si>
  <si>
    <t>NV0029</t>
  </si>
  <si>
    <t>NV0030</t>
  </si>
  <si>
    <t>NV0031</t>
  </si>
  <si>
    <t>NV0032</t>
  </si>
  <si>
    <t>CÔNG TY CỔ PHẦN ABCDEF</t>
  </si>
  <si>
    <t>Phụ trách kỹ thuật</t>
  </si>
  <si>
    <t>Phụ trách tài chính</t>
  </si>
  <si>
    <t>Phụ trách chung HCNS</t>
  </si>
  <si>
    <t>Phụ trách chung TKBG</t>
  </si>
  <si>
    <t>Phụ trách chung VT</t>
  </si>
  <si>
    <t>Phụ trách chung TCKT</t>
  </si>
  <si>
    <t>TỔNG CỘNG</t>
  </si>
  <si>
    <t>(1)</t>
  </si>
  <si>
    <t>(2)</t>
  </si>
  <si>
    <t>Stt</t>
  </si>
  <si>
    <t>Chức vụ - Cấp bậc</t>
  </si>
  <si>
    <t>Hệ số LCB</t>
  </si>
  <si>
    <t>Ngày công</t>
  </si>
  <si>
    <t>Ngày nghỉ lễ</t>
  </si>
  <si>
    <t>Mức lương cố định</t>
  </si>
  <si>
    <t>Thu nhập bổ sung</t>
  </si>
  <si>
    <t>Tiền ăn ca</t>
  </si>
  <si>
    <t>Tiền nghỉ lễ, phép</t>
  </si>
  <si>
    <t>Tổng thu nhập</t>
  </si>
  <si>
    <t>Các khoản giảm trừ</t>
  </si>
  <si>
    <t>Thu nhập chịu thuế</t>
  </si>
  <si>
    <t>Thuế TNCN</t>
  </si>
  <si>
    <t>Phí công đoàn</t>
  </si>
  <si>
    <t>Số tiền thực nhận</t>
  </si>
  <si>
    <t>(3)</t>
  </si>
  <si>
    <t>(4)</t>
  </si>
  <si>
    <t>(5)</t>
  </si>
  <si>
    <t>(7)</t>
  </si>
  <si>
    <t>(9)</t>
  </si>
  <si>
    <t>(14)</t>
  </si>
  <si>
    <t>(15)</t>
  </si>
  <si>
    <t>Nguyễn Văn 4</t>
  </si>
  <si>
    <t>Nguyễn Văn 5</t>
  </si>
  <si>
    <t>Nguyễn Văn 6</t>
  </si>
  <si>
    <t>Nguyễn Văn 7</t>
  </si>
  <si>
    <t>Nguyễn Văn 8</t>
  </si>
  <si>
    <t>Hệ số phụ cấp thu nhập</t>
  </si>
  <si>
    <t>(8)=(4)*35.000</t>
  </si>
  <si>
    <t>Tiền năng suất</t>
  </si>
  <si>
    <t>(10)=(4)*(6)*(9)/26</t>
  </si>
  <si>
    <t>(6)=((2)+(3))*1.715.000</t>
  </si>
  <si>
    <t>(11)=(5)*(2)*1.715.000/22</t>
  </si>
  <si>
    <t>(12)=(4)*(6)/26+(8)+(10)+(11)</t>
  </si>
  <si>
    <t>Hệ số KPI</t>
  </si>
  <si>
    <t>Tổng giảm trừ</t>
  </si>
  <si>
    <t>(17)=(13)+(14)+(15)+(16)</t>
  </si>
  <si>
    <t>(18)=(12)-(17)</t>
  </si>
  <si>
    <t>(19)</t>
  </si>
  <si>
    <t>Bảo hiễm
xã hội</t>
  </si>
  <si>
    <t>(13)=((2)+(3))*1.175.000*10,5%</t>
  </si>
  <si>
    <t>(16)=((2)+(3))*1.175.000*1%</t>
  </si>
  <si>
    <t>Bảo hiểm
xã hội</t>
  </si>
  <si>
    <t>Điền địa chỉ ô chứa tên của file trong danh sách sheet</t>
  </si>
  <si>
    <t>Lê Văn 8</t>
  </si>
  <si>
    <t>Lê Văn 9</t>
  </si>
  <si>
    <t>Email</t>
  </si>
  <si>
    <t>Inbox</t>
  </si>
  <si>
    <t>Data</t>
  </si>
  <si>
    <t>BangLuong</t>
  </si>
  <si>
    <t>PhieuLuong</t>
  </si>
  <si>
    <t>Msgbox</t>
  </si>
  <si>
    <t>Mau1</t>
  </si>
  <si>
    <t>Mã NV</t>
  </si>
  <si>
    <t>NỘI DUNG EMAIL</t>
  </si>
  <si>
    <t>ĐƯỜNG DẪN FILE PHIẾU LƯƠNG</t>
  </si>
  <si>
    <t>ĐỊA CHỈ EMAIL</t>
  </si>
  <si>
    <t>C</t>
  </si>
  <si>
    <t>Phụ trách chung Công ty</t>
  </si>
  <si>
    <t>TRẠNG THÁI GỬI</t>
  </si>
  <si>
    <t>D:\DuAnVBA\TachSheet_GuiMail.xlsm</t>
  </si>
  <si>
    <t>TachSheet_GuiMail.xlsm</t>
  </si>
  <si>
    <t>letriliengiang@gmail.com</t>
  </si>
  <si>
    <t>https://docs.microsoft.com/en-us/office/client-developer/excel/excel-recalculation</t>
  </si>
  <si>
    <t>https://trumpexcel.com/convert-excel-to-pdf/</t>
  </si>
  <si>
    <t>C:\Users\LENGOC\Desktop\TachFile\Tach phieu Luong Nhan vien\NV0001-Nguyễn Văn 1.pdf</t>
  </si>
  <si>
    <t>C:\Users\LENGOC\Desktop\TachFile\Tach phieu Luong Nhan vien\NV0002-Nguyễn Văn 2.pdf</t>
  </si>
  <si>
    <t>C:\Users\LENGOC\Desktop\TachFile\Tach phieu Luong Nhan vien\NV0003-Nguyễn Văn 3.pdf</t>
  </si>
  <si>
    <t>C:\Users\LENGOC\Desktop\TachFile\Tach phieu Luong Nhan vien\NV0004-Lê Văn 1.pdf</t>
  </si>
  <si>
    <t>C:\Users\LENGOC\Desktop\TachFile\Tach phieu Luong Nhan vien\NV0005-Lê Văn 2.pdf</t>
  </si>
  <si>
    <t>C:\Users\LENGOC\Desktop\TachFile\Tach phieu Luong Nhan vien\NV0006-Lê Văn 3.pdf</t>
  </si>
  <si>
    <t>C:\Users\LENGOC\Desktop\TachFile\Tach phieu Luong Nhan vien\NV0007-Lê Văn 4.pdf</t>
  </si>
  <si>
    <t>C:\Users\LENGOC\Desktop\TachFile\Tach phieu Luong Nhan vien\NV0008-Lê Văn 5.pdf</t>
  </si>
  <si>
    <t>C:\Users\LENGOC\Desktop\TachFile\Tach phieu Luong Nhan vien\NV0009-Lê Văn 6.pdf</t>
  </si>
  <si>
    <t>C:\Users\LENGOC\Desktop\TachFile\Tach phieu Luong Nhan vien\NV0010-Lê Văn 7.pdf</t>
  </si>
  <si>
    <t>C:\Users\LENGOC\Desktop\TachFile\Tach phieu Luong Nhan vien\NV0011-Lê Văn 8.pdf</t>
  </si>
  <si>
    <t>C:\Users\LENGOC\Desktop\TachFile\Tach phieu Luong Nhan vien\NV0012-Lê Văn 9.pdf</t>
  </si>
  <si>
    <t>C:\Users\LENGOC\Desktop\TachFile\Tach phieu Luong Nhan vien\NV0013-Trần Văn 1.pdf</t>
  </si>
  <si>
    <t>C:\Users\LENGOC\Desktop\TachFile\Tach phieu Luong Nhan vien\NV0014-Trần Văn 2.pdf</t>
  </si>
  <si>
    <t>C:\Users\LENGOC\Desktop\TachFile\Tach phieu Luong Nhan vien\NV0015-Trần Văn 3.pdf</t>
  </si>
  <si>
    <t>C:\Users\LENGOC\Desktop\TachFile\Tach phieu Luong Nhan vien\NV0016-Trần Văn 4.pdf</t>
  </si>
  <si>
    <t>C:\Users\LENGOC\Desktop\TachFile\Tach phieu Luong Nhan vien\NV0017-Trần Văn 5.pdf</t>
  </si>
  <si>
    <t>C:\Users\LENGOC\Desktop\TachFile\Tach phieu Luong Nhan vien\NV0018-Trần Văn 6.pdf</t>
  </si>
  <si>
    <t>C:\Users\LENGOC\Desktop\TachFile\Tach phieu Luong Nhan vien\NV0019-Trần Văn 7.pdf</t>
  </si>
  <si>
    <t>C:\Users\LENGOC\Desktop\TachFile\Tach phieu Luong Nhan vien\NV0020-Trần Văn 8.pdf</t>
  </si>
  <si>
    <t>C:\Users\LENGOC\Desktop\TachFile\Tach phieu Luong Nhan vien\NV0021-Trần Văn 9.pdf</t>
  </si>
  <si>
    <t>C:\Users\LENGOC\Desktop\TachFile\Tach phieu Luong Nhan vien\NV0022-Trần Văn 10.pdf</t>
  </si>
  <si>
    <t>C:\Users\LENGOC\Desktop\TachFile\Tach phieu Luong Nhan vien\NV0023-Hoàng Văn 1.pdf</t>
  </si>
  <si>
    <t>C:\Users\LENGOC\Desktop\TachFile\Tach phieu Luong Nhan vien\NV0024-Hoàng Thị 2.pdf</t>
  </si>
  <si>
    <t>C:\Users\LENGOC\Desktop\TachFile\Tach phieu Luong Nhan vien\NV0025-Hoàng Thị 3.pdf</t>
  </si>
  <si>
    <t>C:\Users\LENGOC\Desktop\TachFile\Tach phieu Luong Nhan vien\NV0026-Hoàng Thị 4.pdf</t>
  </si>
  <si>
    <t>C:\Users\LENGOC\Desktop\TachFile\Tach phieu Luong Nhan vien\NV0027-Lương Thị 1.pdf</t>
  </si>
  <si>
    <t>C:\Users\LENGOC\Desktop\TachFile\Tach phieu Luong Nhan vien\NV0028-Lương Thị 2.pdf</t>
  </si>
  <si>
    <t>C:\Users\LENGOC\Desktop\TachFile\Tach phieu Luong Nhan vien\NV0029-Lương Thị 3.pdf</t>
  </si>
  <si>
    <t>C:\Users\LENGOC\Desktop\TachFile\Tach phieu Luong Nhan vien\NV0030-Lương Thị 4.pdf</t>
  </si>
  <si>
    <t>C:\Users\LENGOC\Desktop\TachFile\Tach phieu Luong Nhan vien\NV0031-Lương Thị 5.pdf</t>
  </si>
  <si>
    <t>C:\Users\LENGOC\Desktop\TachFile\Tach phieu Luong Nhan vien\NV0032-Lương Thị 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</si>
</sst>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\ _€_-;\-* #,##0.00\ _€_-;_-* &quot;-&quot;??\ _€_-;_-@_-"/>
    <numFmt numFmtId="165" formatCode="00"/>
    <numFmt numFmtId="166" formatCode="_(* #,##0_);_(* \(#,##0\);_(* &quot;-&quot;??_);_(@_)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b/>
      <sz val="20"/>
      <color rgb="FFFF0000"/>
      <name val="Times New Roman"/>
      <family val="1"/>
    </font>
    <font>
      <b/>
      <sz val="14"/>
      <color rgb="FF002060"/>
      <name val="Times New Roman"/>
      <family val="1"/>
    </font>
    <font>
      <b/>
      <sz val="11"/>
      <color rgb="FF7030A0"/>
      <name val="Times New Roman"/>
      <family val="1"/>
    </font>
    <font>
      <b/>
      <sz val="14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rgb="FF002060"/>
      <name val="Times New Roman"/>
      <family val="1"/>
    </font>
    <font>
      <u/>
      <sz val="11"/>
      <color theme="10"/>
      <name val="Calibri"/>
      <family val="2"/>
      <scheme val="minor"/>
    </font>
    <font>
      <b/>
      <sz val="11"/>
      <color rgb="FFFF0000"/>
      <name val="Times New Roman"/>
      <family val="1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8"/>
      <color rgb="FFFF0000"/>
      <name val="Times New Roman"/>
      <family val="1"/>
    </font>
    <font>
      <sz val="11"/>
      <color rgb="FF000000"/>
      <name val="Calibri"/>
      <family val="2"/>
    </font>
    <font>
      <b/>
      <sz val="12"/>
      <name val="Times New Roman"/>
      <family val="1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b/>
      <sz val="16"/>
      <color rgb="FFFF0000"/>
      <name val="Times New Roman"/>
      <family val="1"/>
    </font>
    <font>
      <b/>
      <sz val="22"/>
      <color indexed="10"/>
      <name val="Times New Roman"/>
      <family val="1"/>
    </font>
    <font>
      <sz val="13"/>
      <name val="Times New Roman"/>
      <family val="1"/>
    </font>
    <font>
      <b/>
      <sz val="16"/>
      <color indexed="10"/>
      <name val="Times New Roman"/>
      <family val="1"/>
    </font>
    <font>
      <sz val="9"/>
      <name val="Times New Roman"/>
      <family val="1"/>
    </font>
    <font>
      <i/>
      <sz val="13"/>
      <name val="Times New Roman"/>
      <family val="1"/>
    </font>
    <font>
      <i/>
      <u/>
      <sz val="13"/>
      <name val="Times New Roman"/>
      <family val="1"/>
    </font>
    <font>
      <sz val="12"/>
      <name val=".VnTime"/>
      <family val="2"/>
    </font>
    <font>
      <b/>
      <sz val="10"/>
      <name val="Times New Roman"/>
      <family val="1"/>
    </font>
    <font>
      <b/>
      <sz val="9"/>
      <name val="Times New Roman"/>
      <family val="1"/>
    </font>
    <font>
      <b/>
      <sz val="10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Times New Roman"/>
      <family val="1"/>
    </font>
    <font>
      <sz val="8"/>
      <name val="Times New Roman"/>
      <family val="1"/>
    </font>
    <font>
      <sz val="13"/>
      <color indexed="8"/>
      <name val="Times New Roman"/>
      <family val="1"/>
    </font>
    <font>
      <b/>
      <sz val="13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b/>
      <i/>
      <sz val="12"/>
      <name val="Times New Roman"/>
      <family val="1"/>
    </font>
    <font>
      <b/>
      <sz val="12"/>
      <color indexed="12"/>
      <name val="Times New Roman"/>
      <family val="1"/>
    </font>
    <font>
      <sz val="8"/>
      <name val="Calibri"/>
      <family val="2"/>
      <scheme val="minor"/>
    </font>
    <font>
      <b/>
      <sz val="14"/>
      <color theme="1"/>
      <name val="Times New Roman"/>
      <family val="1"/>
    </font>
    <font>
      <b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"/>
      <family val="2"/>
    </font>
    <font>
      <u/>
      <sz val="12"/>
      <color theme="10"/>
      <name val="Times New Roman"/>
      <family val="2"/>
      <charset val="163"/>
    </font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2"/>
      <color theme="1"/>
      <name val="Times New Roman"/>
      <family val="2"/>
      <charset val="163"/>
    </font>
    <font>
      <sz val="10"/>
      <name val="Arial"/>
      <family val="2"/>
    </font>
    <font>
      <sz val="13"/>
      <color theme="1"/>
      <name val="Times New Roman"/>
      <family val="2"/>
      <charset val="163"/>
    </font>
    <font>
      <b/>
      <sz val="16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12" fillId="0" borderId="0" applyNumberFormat="0" applyFill="0" applyBorder="0" applyAlignment="0" applyProtection="0"/>
    <xf numFmtId="164" fontId="20" fillId="0" borderId="0" applyFont="0" applyFill="0" applyBorder="0" applyAlignment="0" applyProtection="0"/>
    <xf numFmtId="0" fontId="31" fillId="0" borderId="0"/>
    <xf numFmtId="0" fontId="48" fillId="0" borderId="0"/>
    <xf numFmtId="0" fontId="49" fillId="0" borderId="0" applyNumberFormat="0" applyFill="0" applyBorder="0" applyAlignment="0" applyProtection="0"/>
    <xf numFmtId="0" fontId="50" fillId="0" borderId="0"/>
    <xf numFmtId="0" fontId="52" fillId="0" borderId="0"/>
    <xf numFmtId="0" fontId="53" fillId="0" borderId="0"/>
    <xf numFmtId="0" fontId="47" fillId="0" borderId="0"/>
    <xf numFmtId="0" fontId="53" fillId="0" borderId="0"/>
    <xf numFmtId="0" fontId="23" fillId="0" borderId="0"/>
    <xf numFmtId="0" fontId="51" fillId="0" borderId="0"/>
    <xf numFmtId="0" fontId="50" fillId="0" borderId="0"/>
    <xf numFmtId="0" fontId="54" fillId="0" borderId="0"/>
    <xf numFmtId="43" fontId="47" fillId="0" borderId="0" applyFont="0" applyFill="0" applyBorder="0" applyAlignment="0" applyProtection="0"/>
    <xf numFmtId="0" fontId="1" fillId="0" borderId="0"/>
  </cellStyleXfs>
  <cellXfs count="163">
    <xf numFmtId="0" fontId="0" fillId="0" borderId="0" xfId="0"/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vertical="center" wrapText="1"/>
    </xf>
    <xf numFmtId="0" fontId="4" fillId="0" borderId="0" xfId="0" applyFont="1" applyAlignment="1">
      <alignment vertical="center"/>
    </xf>
    <xf numFmtId="0" fontId="10" fillId="0" borderId="2" xfId="0" applyFont="1" applyBorder="1" applyAlignment="1">
      <alignment vertical="center"/>
    </xf>
    <xf numFmtId="0" fontId="2" fillId="7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11" fillId="0" borderId="0" xfId="0" applyFont="1" applyAlignment="1">
      <alignment vertical="center"/>
    </xf>
    <xf numFmtId="0" fontId="3" fillId="5" borderId="1" xfId="0" applyFont="1" applyFill="1" applyBorder="1" applyAlignment="1">
      <alignment vertical="center" wrapText="1"/>
    </xf>
    <xf numFmtId="0" fontId="11" fillId="0" borderId="2" xfId="0" applyFont="1" applyBorder="1" applyAlignment="1">
      <alignment vertical="center"/>
    </xf>
    <xf numFmtId="0" fontId="12" fillId="5" borderId="1" xfId="1" applyFill="1" applyBorder="1" applyAlignment="1">
      <alignment vertical="center" wrapText="1"/>
    </xf>
    <xf numFmtId="0" fontId="12" fillId="0" borderId="1" xfId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vertical="center"/>
    </xf>
    <xf numFmtId="14" fontId="3" fillId="0" borderId="0" xfId="0" applyNumberFormat="1" applyFont="1" applyAlignment="1">
      <alignment vertical="center"/>
    </xf>
    <xf numFmtId="14" fontId="2" fillId="3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vertical="center"/>
    </xf>
    <xf numFmtId="14" fontId="3" fillId="0" borderId="0" xfId="0" applyNumberFormat="1" applyFont="1" applyAlignment="1">
      <alignment vertical="center" wrapText="1"/>
    </xf>
    <xf numFmtId="0" fontId="3" fillId="0" borderId="0" xfId="0" quotePrefix="1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0" xfId="0" applyFont="1"/>
    <xf numFmtId="0" fontId="17" fillId="0" borderId="0" xfId="0" applyFont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12" fillId="0" borderId="0" xfId="1"/>
    <xf numFmtId="0" fontId="15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3" fontId="26" fillId="0" borderId="0" xfId="2" applyNumberFormat="1" applyFont="1" applyFill="1" applyAlignment="1">
      <alignment horizontal="right" vertical="center"/>
    </xf>
    <xf numFmtId="3" fontId="26" fillId="0" borderId="0" xfId="2" applyNumberFormat="1" applyFont="1" applyFill="1" applyAlignment="1">
      <alignment horizontal="center" vertical="center"/>
    </xf>
    <xf numFmtId="3" fontId="29" fillId="0" borderId="0" xfId="2" applyNumberFormat="1" applyFont="1" applyFill="1" applyBorder="1" applyAlignment="1">
      <alignment horizontal="right" vertical="center"/>
    </xf>
    <xf numFmtId="3" fontId="39" fillId="0" borderId="0" xfId="2" applyNumberFormat="1" applyFont="1" applyFill="1" applyAlignment="1">
      <alignment horizontal="right" vertical="center"/>
    </xf>
    <xf numFmtId="3" fontId="19" fillId="0" borderId="0" xfId="2" applyNumberFormat="1" applyFont="1" applyFill="1" applyAlignment="1">
      <alignment horizontal="right" vertical="center"/>
    </xf>
    <xf numFmtId="3" fontId="40" fillId="0" borderId="0" xfId="2" applyNumberFormat="1" applyFont="1" applyFill="1" applyAlignment="1">
      <alignment horizontal="right" vertical="center"/>
    </xf>
    <xf numFmtId="3" fontId="23" fillId="0" borderId="0" xfId="2" applyNumberFormat="1" applyFont="1" applyFill="1" applyAlignment="1">
      <alignment horizontal="right" vertical="center"/>
    </xf>
    <xf numFmtId="3" fontId="43" fillId="0" borderId="0" xfId="1" applyNumberFormat="1" applyFont="1" applyFill="1" applyBorder="1" applyAlignment="1">
      <alignment horizontal="center" vertical="center"/>
    </xf>
    <xf numFmtId="3" fontId="21" fillId="0" borderId="0" xfId="2" applyNumberFormat="1" applyFont="1" applyFill="1" applyBorder="1" applyAlignment="1">
      <alignment horizontal="right" vertical="center"/>
    </xf>
    <xf numFmtId="3" fontId="22" fillId="0" borderId="0" xfId="2" applyNumberFormat="1" applyFont="1" applyFill="1" applyBorder="1" applyAlignment="1">
      <alignment horizontal="center" vertical="center"/>
    </xf>
    <xf numFmtId="3" fontId="22" fillId="0" borderId="0" xfId="2" applyNumberFormat="1" applyFont="1" applyFill="1" applyAlignment="1">
      <alignment horizontal="right" vertical="center"/>
    </xf>
    <xf numFmtId="3" fontId="21" fillId="0" borderId="0" xfId="2" applyNumberFormat="1" applyFont="1" applyFill="1" applyAlignment="1">
      <alignment horizontal="right" vertical="center"/>
    </xf>
    <xf numFmtId="0" fontId="21" fillId="0" borderId="0" xfId="0" applyFont="1" applyFill="1" applyAlignment="1">
      <alignment vertical="center"/>
    </xf>
    <xf numFmtId="165" fontId="25" fillId="0" borderId="0" xfId="0" applyNumberFormat="1" applyFont="1" applyFill="1" applyAlignment="1">
      <alignment vertical="center"/>
    </xf>
    <xf numFmtId="0" fontId="26" fillId="0" borderId="0" xfId="0" applyFont="1" applyFill="1" applyAlignment="1">
      <alignment vertical="center"/>
    </xf>
    <xf numFmtId="165" fontId="26" fillId="0" borderId="0" xfId="0" applyNumberFormat="1" applyFont="1" applyFill="1" applyAlignment="1">
      <alignment vertical="center"/>
    </xf>
    <xf numFmtId="0" fontId="28" fillId="0" borderId="0" xfId="0" applyFont="1" applyFill="1" applyAlignment="1">
      <alignment horizontal="center" vertical="center"/>
    </xf>
    <xf numFmtId="0" fontId="35" fillId="0" borderId="0" xfId="3" applyFont="1" applyFill="1" applyAlignment="1">
      <alignment horizontal="center" vertical="center"/>
    </xf>
    <xf numFmtId="0" fontId="32" fillId="0" borderId="0" xfId="3" applyFont="1" applyFill="1" applyAlignment="1">
      <alignment horizontal="right" vertical="center"/>
    </xf>
    <xf numFmtId="0" fontId="35" fillId="0" borderId="0" xfId="3" applyFont="1" applyFill="1" applyAlignment="1">
      <alignment horizontal="right" vertical="center"/>
    </xf>
    <xf numFmtId="165" fontId="26" fillId="0" borderId="0" xfId="3" applyNumberFormat="1" applyFont="1" applyFill="1" applyAlignment="1">
      <alignment horizontal="center" vertical="center"/>
    </xf>
    <xf numFmtId="0" fontId="26" fillId="0" borderId="0" xfId="3" applyFont="1" applyFill="1" applyAlignment="1">
      <alignment horizontal="left" vertical="center"/>
    </xf>
    <xf numFmtId="0" fontId="28" fillId="0" borderId="0" xfId="3" applyFont="1" applyFill="1" applyAlignment="1">
      <alignment horizontal="center" vertical="center"/>
    </xf>
    <xf numFmtId="3" fontId="38" fillId="0" borderId="0" xfId="2" applyNumberFormat="1" applyFont="1" applyFill="1" applyAlignment="1">
      <alignment horizontal="right" vertical="center"/>
    </xf>
    <xf numFmtId="3" fontId="26" fillId="0" borderId="0" xfId="3" applyNumberFormat="1" applyFont="1" applyFill="1" applyAlignment="1">
      <alignment vertical="center"/>
    </xf>
    <xf numFmtId="0" fontId="26" fillId="0" borderId="0" xfId="3" applyFont="1" applyFill="1" applyAlignment="1">
      <alignment vertical="center"/>
    </xf>
    <xf numFmtId="165" fontId="19" fillId="0" borderId="0" xfId="3" applyNumberFormat="1" applyFont="1" applyFill="1" applyAlignment="1">
      <alignment horizontal="center" vertical="center"/>
    </xf>
    <xf numFmtId="0" fontId="19" fillId="0" borderId="0" xfId="3" applyFont="1" applyFill="1" applyAlignment="1">
      <alignment vertical="center"/>
    </xf>
    <xf numFmtId="0" fontId="19" fillId="0" borderId="0" xfId="3" applyFont="1" applyFill="1" applyAlignment="1">
      <alignment horizontal="center" vertical="center"/>
    </xf>
    <xf numFmtId="3" fontId="40" fillId="0" borderId="0" xfId="3" applyNumberFormat="1" applyFont="1" applyFill="1" applyAlignment="1">
      <alignment horizontal="center" vertical="center"/>
    </xf>
    <xf numFmtId="165" fontId="23" fillId="0" borderId="0" xfId="3" applyNumberFormat="1" applyFont="1" applyFill="1" applyAlignment="1">
      <alignment horizontal="center" vertical="center"/>
    </xf>
    <xf numFmtId="0" fontId="23" fillId="0" borderId="0" xfId="3" applyFont="1" applyFill="1" applyAlignment="1">
      <alignment horizontal="left" vertical="center"/>
    </xf>
    <xf numFmtId="0" fontId="23" fillId="0" borderId="0" xfId="3" applyFont="1" applyFill="1" applyAlignment="1">
      <alignment horizontal="center" vertical="center"/>
    </xf>
    <xf numFmtId="0" fontId="23" fillId="0" borderId="0" xfId="3" applyFont="1" applyFill="1" applyAlignment="1">
      <alignment vertical="center"/>
    </xf>
    <xf numFmtId="3" fontId="23" fillId="0" borderId="0" xfId="3" applyNumberFormat="1" applyFont="1" applyFill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41" fillId="0" borderId="0" xfId="0" applyFont="1" applyFill="1" applyAlignment="1">
      <alignment horizontal="center" vertical="center"/>
    </xf>
    <xf numFmtId="3" fontId="22" fillId="0" borderId="0" xfId="2" applyNumberFormat="1" applyFont="1" applyFill="1" applyAlignment="1">
      <alignment horizontal="center" vertical="center"/>
    </xf>
    <xf numFmtId="2" fontId="40" fillId="0" borderId="0" xfId="0" applyNumberFormat="1" applyFont="1" applyFill="1" applyAlignment="1">
      <alignment horizontal="left" vertical="center" wrapText="1"/>
    </xf>
    <xf numFmtId="2" fontId="19" fillId="0" borderId="0" xfId="0" applyNumberFormat="1" applyFont="1" applyFill="1" applyAlignment="1">
      <alignment vertical="center" wrapText="1"/>
    </xf>
    <xf numFmtId="0" fontId="22" fillId="0" borderId="0" xfId="0" applyFont="1" applyFill="1" applyAlignment="1">
      <alignment horizontal="left" vertical="center"/>
    </xf>
    <xf numFmtId="3" fontId="42" fillId="0" borderId="0" xfId="2" applyNumberFormat="1" applyFont="1" applyFill="1" applyBorder="1" applyAlignment="1">
      <alignment horizontal="right" vertical="center" wrapText="1"/>
    </xf>
    <xf numFmtId="0" fontId="42" fillId="0" borderId="0" xfId="0" applyFont="1" applyFill="1" applyAlignment="1">
      <alignment vertical="center" wrapText="1"/>
    </xf>
    <xf numFmtId="0" fontId="23" fillId="0" borderId="0" xfId="0" applyFont="1" applyFill="1" applyAlignment="1">
      <alignment vertical="center"/>
    </xf>
    <xf numFmtId="2" fontId="19" fillId="0" borderId="0" xfId="0" applyNumberFormat="1" applyFont="1" applyFill="1" applyAlignment="1">
      <alignment horizontal="left" vertical="center" wrapText="1"/>
    </xf>
    <xf numFmtId="3" fontId="35" fillId="0" borderId="1" xfId="2" applyNumberFormat="1" applyFont="1" applyFill="1" applyBorder="1" applyAlignment="1">
      <alignment horizontal="center" vertical="center" wrapText="1"/>
    </xf>
    <xf numFmtId="3" fontId="32" fillId="0" borderId="1" xfId="2" applyNumberFormat="1" applyFont="1" applyFill="1" applyBorder="1" applyAlignment="1">
      <alignment horizontal="center" vertical="center" wrapText="1"/>
    </xf>
    <xf numFmtId="0" fontId="35" fillId="0" borderId="1" xfId="3" applyFont="1" applyFill="1" applyBorder="1" applyAlignment="1">
      <alignment horizontal="center" vertical="center"/>
    </xf>
    <xf numFmtId="0" fontId="28" fillId="0" borderId="1" xfId="3" applyFont="1" applyFill="1" applyBorder="1" applyAlignment="1">
      <alignment horizontal="center" vertical="center"/>
    </xf>
    <xf numFmtId="3" fontId="28" fillId="0" borderId="1" xfId="2" applyNumberFormat="1" applyFont="1" applyFill="1" applyBorder="1" applyAlignment="1">
      <alignment horizontal="center" vertical="center"/>
    </xf>
    <xf numFmtId="3" fontId="35" fillId="0" borderId="1" xfId="3" applyNumberFormat="1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left" vertical="center"/>
    </xf>
    <xf numFmtId="0" fontId="33" fillId="0" borderId="1" xfId="0" applyFont="1" applyFill="1" applyBorder="1" applyAlignment="1">
      <alignment horizontal="center" vertical="center"/>
    </xf>
    <xf numFmtId="3" fontId="33" fillId="0" borderId="1" xfId="2" applyNumberFormat="1" applyFont="1" applyFill="1" applyBorder="1" applyAlignment="1">
      <alignment horizontal="right" vertical="center"/>
    </xf>
    <xf numFmtId="0" fontId="28" fillId="0" borderId="1" xfId="0" applyFont="1" applyFill="1" applyBorder="1" applyAlignment="1">
      <alignment horizontal="left" vertical="center"/>
    </xf>
    <xf numFmtId="0" fontId="28" fillId="0" borderId="1" xfId="0" applyFont="1" applyFill="1" applyBorder="1" applyAlignment="1">
      <alignment horizontal="center" vertical="center"/>
    </xf>
    <xf numFmtId="3" fontId="35" fillId="0" borderId="1" xfId="2" applyNumberFormat="1" applyFont="1" applyFill="1" applyBorder="1" applyAlignment="1">
      <alignment horizontal="right" vertical="center"/>
    </xf>
    <xf numFmtId="3" fontId="36" fillId="0" borderId="1" xfId="2" applyNumberFormat="1" applyFont="1" applyFill="1" applyBorder="1" applyAlignment="1">
      <alignment horizontal="right" vertical="center"/>
    </xf>
    <xf numFmtId="0" fontId="37" fillId="0" borderId="1" xfId="0" applyFont="1" applyFill="1" applyBorder="1" applyAlignment="1">
      <alignment horizontal="right" vertical="center"/>
    </xf>
    <xf numFmtId="3" fontId="35" fillId="0" borderId="1" xfId="3" applyNumberFormat="1" applyFont="1" applyFill="1" applyBorder="1" applyAlignment="1">
      <alignment horizontal="right" vertical="center"/>
    </xf>
    <xf numFmtId="3" fontId="32" fillId="0" borderId="1" xfId="2" applyNumberFormat="1" applyFont="1" applyFill="1" applyBorder="1" applyAlignment="1">
      <alignment horizontal="right" vertical="center"/>
    </xf>
    <xf numFmtId="3" fontId="28" fillId="0" borderId="1" xfId="2" applyNumberFormat="1" applyFont="1" applyFill="1" applyBorder="1" applyAlignment="1">
      <alignment horizontal="right" vertical="center"/>
    </xf>
    <xf numFmtId="0" fontId="21" fillId="0" borderId="1" xfId="0" applyFont="1" applyFill="1" applyBorder="1" applyAlignment="1">
      <alignment vertical="center"/>
    </xf>
    <xf numFmtId="0" fontId="41" fillId="0" borderId="1" xfId="0" applyFont="1" applyFill="1" applyBorder="1" applyAlignment="1">
      <alignment horizontal="center" vertical="center"/>
    </xf>
    <xf numFmtId="3" fontId="21" fillId="0" borderId="1" xfId="2" applyNumberFormat="1" applyFont="1" applyFill="1" applyBorder="1" applyAlignment="1">
      <alignment horizontal="right" vertical="center"/>
    </xf>
    <xf numFmtId="3" fontId="22" fillId="0" borderId="1" xfId="2" applyNumberFormat="1" applyFont="1" applyFill="1" applyBorder="1" applyAlignment="1">
      <alignment horizontal="center" vertical="center"/>
    </xf>
    <xf numFmtId="3" fontId="22" fillId="0" borderId="1" xfId="2" applyNumberFormat="1" applyFont="1" applyFill="1" applyBorder="1" applyAlignment="1">
      <alignment horizontal="right" vertical="center"/>
    </xf>
    <xf numFmtId="3" fontId="35" fillId="0" borderId="1" xfId="2" applyNumberFormat="1" applyFont="1" applyFill="1" applyBorder="1" applyAlignment="1">
      <alignment horizontal="center" vertical="center"/>
    </xf>
    <xf numFmtId="0" fontId="32" fillId="0" borderId="1" xfId="3" applyFont="1" applyFill="1" applyBorder="1" applyAlignment="1">
      <alignment horizontal="left" vertical="center"/>
    </xf>
    <xf numFmtId="0" fontId="33" fillId="0" borderId="1" xfId="3" applyFont="1" applyFill="1" applyBorder="1" applyAlignment="1">
      <alignment horizontal="center" vertical="center"/>
    </xf>
    <xf numFmtId="3" fontId="27" fillId="0" borderId="0" xfId="0" applyNumberFormat="1" applyFont="1" applyFill="1" applyBorder="1" applyAlignment="1">
      <alignment vertical="center"/>
    </xf>
    <xf numFmtId="165" fontId="35" fillId="0" borderId="1" xfId="3" applyNumberFormat="1" applyFont="1" applyFill="1" applyBorder="1" applyAlignment="1">
      <alignment horizontal="center" vertical="center"/>
    </xf>
    <xf numFmtId="165" fontId="32" fillId="0" borderId="1" xfId="0" applyNumberFormat="1" applyFont="1" applyFill="1" applyBorder="1" applyAlignment="1">
      <alignment horizontal="center" vertical="center"/>
    </xf>
    <xf numFmtId="165" fontId="35" fillId="0" borderId="1" xfId="0" applyNumberFormat="1" applyFont="1" applyFill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165" fontId="32" fillId="0" borderId="1" xfId="3" applyNumberFormat="1" applyFont="1" applyFill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2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24" fillId="0" borderId="0" xfId="0" applyNumberFormat="1" applyFont="1" applyAlignment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0" xfId="0" applyAlignment="1" applyProtection="1">
      <alignment vertical="center"/>
    </xf>
    <xf numFmtId="0" fontId="2" fillId="0" borderId="1" xfId="0" applyFont="1" applyBorder="1" applyAlignment="1">
      <alignment horizontal="center" vertical="center" wrapText="1"/>
    </xf>
    <xf numFmtId="0" fontId="45" fillId="0" borderId="0" xfId="0" applyFont="1" applyAlignment="1">
      <alignment vertical="center"/>
    </xf>
    <xf numFmtId="0" fontId="55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49" fontId="3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66" fontId="3" fillId="0" borderId="1" xfId="15" applyNumberFormat="1" applyFont="1" applyBorder="1" applyAlignment="1">
      <alignment vertical="center"/>
    </xf>
    <xf numFmtId="166" fontId="2" fillId="0" borderId="1" xfId="15" applyNumberFormat="1" applyFont="1" applyBorder="1" applyAlignment="1">
      <alignment vertical="center"/>
    </xf>
    <xf numFmtId="166" fontId="3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66" fontId="3" fillId="0" borderId="1" xfId="15" applyNumberFormat="1" applyFont="1" applyBorder="1" applyAlignment="1">
      <alignment vertical="center" wrapText="1"/>
    </xf>
    <xf numFmtId="0" fontId="3" fillId="0" borderId="1" xfId="0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3" fontId="32" fillId="0" borderId="1" xfId="2" applyNumberFormat="1" applyFont="1" applyFill="1" applyBorder="1" applyAlignment="1">
      <alignment horizontal="center" vertical="center" wrapText="1"/>
    </xf>
    <xf numFmtId="3" fontId="35" fillId="0" borderId="1" xfId="3" applyNumberFormat="1" applyFont="1" applyFill="1" applyBorder="1" applyAlignment="1">
      <alignment horizontal="center" vertical="center" wrapText="1"/>
    </xf>
    <xf numFmtId="3" fontId="35" fillId="0" borderId="1" xfId="3" applyNumberFormat="1" applyFont="1" applyFill="1" applyBorder="1" applyAlignment="1">
      <alignment horizontal="center" vertical="center"/>
    </xf>
    <xf numFmtId="3" fontId="30" fillId="0" borderId="0" xfId="0" applyNumberFormat="1" applyFont="1" applyFill="1" applyAlignment="1">
      <alignment horizontal="center" vertical="center"/>
    </xf>
    <xf numFmtId="165" fontId="32" fillId="0" borderId="1" xfId="3" applyNumberFormat="1" applyFont="1" applyFill="1" applyBorder="1" applyAlignment="1">
      <alignment horizontal="center" vertical="center"/>
    </xf>
    <xf numFmtId="0" fontId="32" fillId="0" borderId="1" xfId="3" applyFont="1" applyFill="1" applyBorder="1" applyAlignment="1">
      <alignment horizontal="center" vertical="center"/>
    </xf>
    <xf numFmtId="0" fontId="33" fillId="0" borderId="1" xfId="3" applyFont="1" applyFill="1" applyBorder="1" applyAlignment="1">
      <alignment horizontal="center" vertical="center" wrapText="1"/>
    </xf>
    <xf numFmtId="0" fontId="33" fillId="0" borderId="1" xfId="3" applyFont="1" applyFill="1" applyBorder="1" applyAlignment="1">
      <alignment horizontal="center" vertical="center"/>
    </xf>
    <xf numFmtId="0" fontId="35" fillId="0" borderId="0" xfId="3" applyFont="1" applyFill="1" applyAlignment="1">
      <alignment horizontal="center" vertical="center"/>
    </xf>
    <xf numFmtId="2" fontId="40" fillId="0" borderId="0" xfId="0" applyNumberFormat="1" applyFont="1" applyFill="1" applyAlignment="1">
      <alignment horizontal="left" vertical="center" wrapText="1"/>
    </xf>
    <xf numFmtId="3" fontId="43" fillId="0" borderId="0" xfId="1" applyNumberFormat="1" applyFont="1" applyFill="1" applyBorder="1" applyAlignment="1">
      <alignment horizontal="center" vertical="center"/>
    </xf>
    <xf numFmtId="2" fontId="19" fillId="0" borderId="0" xfId="0" applyNumberFormat="1" applyFont="1" applyFill="1" applyAlignment="1">
      <alignment horizontal="left" vertical="center" wrapText="1"/>
    </xf>
    <xf numFmtId="3" fontId="40" fillId="0" borderId="0" xfId="2" applyNumberFormat="1" applyFont="1" applyFill="1" applyAlignment="1">
      <alignment horizontal="right" vertical="center"/>
    </xf>
    <xf numFmtId="3" fontId="40" fillId="0" borderId="0" xfId="3" applyNumberFormat="1" applyFont="1" applyFill="1" applyAlignment="1">
      <alignment horizontal="center" vertical="center"/>
    </xf>
    <xf numFmtId="3" fontId="19" fillId="0" borderId="0" xfId="2" applyNumberFormat="1" applyFont="1" applyFill="1" applyAlignment="1">
      <alignment horizontal="right" vertical="center"/>
    </xf>
    <xf numFmtId="3" fontId="19" fillId="0" borderId="0" xfId="3" applyNumberFormat="1" applyFont="1" applyFill="1" applyAlignment="1">
      <alignment horizontal="center" vertical="center"/>
    </xf>
    <xf numFmtId="3" fontId="34" fillId="0" borderId="1" xfId="2" applyNumberFormat="1" applyFont="1" applyFill="1" applyBorder="1" applyAlignment="1">
      <alignment horizontal="center" vertical="center" wrapText="1"/>
    </xf>
    <xf numFmtId="3" fontId="32" fillId="0" borderId="1" xfId="2" applyNumberFormat="1" applyFont="1" applyFill="1" applyBorder="1" applyAlignment="1">
      <alignment horizontal="center" vertical="center"/>
    </xf>
  </cellXfs>
  <cellStyles count="17">
    <cellStyle name="Comma" xfId="15" builtinId="3"/>
    <cellStyle name="Comma 2 4" xfId="2" xr:uid="{696F94D5-1731-49B3-8D9A-919FC2AEC7D7}"/>
    <cellStyle name="Hyperlink" xfId="1" builtinId="8"/>
    <cellStyle name="Hyperlink 2" xfId="5" xr:uid="{EAD8ADE9-9BEE-4E21-8B64-042500D033E1}"/>
    <cellStyle name="Normal" xfId="0" builtinId="0"/>
    <cellStyle name="Normal 10 2" xfId="10" xr:uid="{EBF8F0DE-00C4-4031-BA95-BCC176DE0685}"/>
    <cellStyle name="Normal 15 2" xfId="6" xr:uid="{C641938E-C075-4821-9436-56320C5AA73F}"/>
    <cellStyle name="Normal 17" xfId="12" xr:uid="{E37010D3-2E63-4914-88A4-22F69E150551}"/>
    <cellStyle name="Normal 2" xfId="3" xr:uid="{482A2114-DEBD-4615-8093-757E7CD92E89}"/>
    <cellStyle name="Normal 2 2 24" xfId="11" xr:uid="{C7313B2C-B58A-4C8F-B65F-3F726C12D519}"/>
    <cellStyle name="Normal 2 4 2" xfId="9" xr:uid="{32B767F8-E43D-4E6D-9F16-62995F6ABC53}"/>
    <cellStyle name="Normal 3" xfId="7" xr:uid="{B31F592E-6D34-48EE-B660-5753A785ADBF}"/>
    <cellStyle name="Normal 4" xfId="4" xr:uid="{F459DE97-DD30-445E-BB70-2D151601F011}"/>
    <cellStyle name="Normal 5" xfId="14" xr:uid="{CC865F6F-961D-4E67-8EE2-A744A57780DE}"/>
    <cellStyle name="Normal 58 2" xfId="13" xr:uid="{8913C634-7002-4757-BA7E-AB85921005BE}"/>
    <cellStyle name="Normal 6" xfId="16" xr:uid="{BE6C7BC4-1129-4F43-BB9C-FE9E38E9A032}"/>
    <cellStyle name="Normal 74" xfId="8" xr:uid="{E7227267-8C61-47E1-A361-A9AA9D890DB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1</xdr:row>
          <xdr:rowOff>142875</xdr:rowOff>
        </xdr:from>
        <xdr:to>
          <xdr:col>10</xdr:col>
          <xdr:colOff>38100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</xdr:row>
          <xdr:rowOff>142875</xdr:rowOff>
        </xdr:from>
        <xdr:to>
          <xdr:col>11</xdr:col>
          <xdr:colOff>466725</xdr:colOff>
          <xdr:row>4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trumpexcel.com/convert-excel-to-pdf/" TargetMode="External"/><Relationship Id="rId1" Type="http://schemas.openxmlformats.org/officeDocument/2006/relationships/hyperlink" Target="https://docs.microsoft.com/en-us/office/client-developer/excel/excel-recalculation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9EA45-C324-4181-90F7-14AF51E3D8F0}">
  <sheetPr codeName="ShEmail">
    <tabColor theme="9" tint="-0.499984740745262"/>
  </sheetPr>
  <dimension ref="A2:X40"/>
  <sheetViews>
    <sheetView zoomScaleNormal="100" workbookViewId="0">
      <selection activeCell="I13" sqref="I13"/>
    </sheetView>
  </sheetViews>
  <sheetFormatPr defaultRowHeight="15" x14ac:dyDescent="0.25"/>
  <cols>
    <col min="1" max="1" width="14.140625" style="1" customWidth="1"/>
    <col min="2" max="2" width="19.5703125" style="1" customWidth="1"/>
    <col min="3" max="3" width="62.7109375" style="1" customWidth="1"/>
    <col min="4" max="4" width="24.5703125" style="1" customWidth="1"/>
    <col min="5" max="5" width="6.5703125" style="1" customWidth="1"/>
    <col min="6" max="6" width="21.7109375" style="1" customWidth="1"/>
    <col min="7" max="9" width="9.140625" style="1"/>
    <col min="10" max="10" width="22.7109375" style="1" customWidth="1"/>
    <col min="11" max="11" width="8.28515625" style="1" customWidth="1"/>
    <col min="12" max="12" width="27.140625" style="25" customWidth="1"/>
    <col min="13" max="13" width="25" style="1" customWidth="1"/>
    <col min="14" max="16384" width="9.140625" style="1"/>
  </cols>
  <sheetData>
    <row r="2" spans="1:24" ht="25.5" x14ac:dyDescent="0.25">
      <c r="C2" s="7" t="s">
        <v>30</v>
      </c>
      <c r="F2" s="36"/>
      <c r="L2" s="36"/>
      <c r="O2" s="36"/>
      <c r="X2" s="36"/>
    </row>
    <row r="3" spans="1:24" ht="22.5" x14ac:dyDescent="0.25">
      <c r="D3" s="36"/>
      <c r="K3" s="32" t="s">
        <v>40</v>
      </c>
      <c r="O3" s="36"/>
      <c r="X3" s="36"/>
    </row>
    <row r="4" spans="1:24" ht="18.75" x14ac:dyDescent="0.25">
      <c r="A4" s="8"/>
      <c r="D4" s="36"/>
      <c r="F4" s="30" t="s">
        <v>31</v>
      </c>
      <c r="O4" s="36"/>
      <c r="X4" s="36"/>
    </row>
    <row r="5" spans="1:24" ht="20.25" customHeight="1" x14ac:dyDescent="0.25">
      <c r="A5" s="9" t="s">
        <v>2</v>
      </c>
      <c r="B5" s="1" t="s">
        <v>22</v>
      </c>
      <c r="D5" s="36"/>
      <c r="F5" s="29" t="s">
        <v>34</v>
      </c>
      <c r="K5" s="23" t="s">
        <v>0</v>
      </c>
      <c r="L5" s="26" t="s">
        <v>41</v>
      </c>
      <c r="M5" s="23" t="s">
        <v>29</v>
      </c>
      <c r="O5" s="36"/>
      <c r="P5" s="36" t="s">
        <v>300</v>
      </c>
      <c r="X5" s="36"/>
    </row>
    <row r="6" spans="1:24" ht="20.25" customHeight="1" x14ac:dyDescent="0.25">
      <c r="B6" s="1" t="s">
        <v>23</v>
      </c>
      <c r="D6" s="36"/>
      <c r="F6" s="29" t="s">
        <v>42</v>
      </c>
      <c r="K6" s="4"/>
      <c r="L6" s="24"/>
      <c r="M6" s="4"/>
      <c r="O6" s="36"/>
      <c r="P6" s="36" t="s">
        <v>301</v>
      </c>
      <c r="X6" s="36"/>
    </row>
    <row r="7" spans="1:24" ht="20.25" customHeight="1" x14ac:dyDescent="0.25">
      <c r="B7" s="1" t="s">
        <v>24</v>
      </c>
      <c r="F7" s="29" t="s">
        <v>43</v>
      </c>
      <c r="K7" s="4"/>
      <c r="L7" s="24"/>
      <c r="M7" s="4"/>
      <c r="X7" s="36"/>
    </row>
    <row r="8" spans="1:24" ht="20.25" customHeight="1" x14ac:dyDescent="0.25">
      <c r="B8" s="1" t="s">
        <v>25</v>
      </c>
      <c r="F8" s="29" t="s">
        <v>44</v>
      </c>
      <c r="K8" s="4"/>
      <c r="L8" s="24"/>
      <c r="M8" s="4"/>
    </row>
    <row r="9" spans="1:24" ht="20.25" customHeight="1" x14ac:dyDescent="0.25">
      <c r="A9" s="9" t="s">
        <v>38</v>
      </c>
      <c r="F9" s="29" t="s">
        <v>45</v>
      </c>
      <c r="K9" s="4"/>
      <c r="L9" s="24"/>
      <c r="M9" s="4"/>
    </row>
    <row r="10" spans="1:24" ht="21.75" customHeight="1" x14ac:dyDescent="0.25">
      <c r="A10" s="5" t="s">
        <v>3</v>
      </c>
      <c r="B10" s="10" t="s">
        <v>4</v>
      </c>
      <c r="C10" s="4" t="s">
        <v>5</v>
      </c>
      <c r="D10" s="5" t="s">
        <v>6</v>
      </c>
      <c r="F10" s="29" t="s">
        <v>35</v>
      </c>
      <c r="K10" s="4"/>
      <c r="L10" s="24"/>
      <c r="M10" s="4"/>
    </row>
    <row r="11" spans="1:24" ht="119.25" customHeight="1" x14ac:dyDescent="0.25">
      <c r="A11" s="11">
        <v>1</v>
      </c>
      <c r="B11" s="12" t="s">
        <v>7</v>
      </c>
      <c r="C11" s="21"/>
      <c r="D11" s="4"/>
    </row>
    <row r="12" spans="1:24" ht="35.25" customHeight="1" x14ac:dyDescent="0.25">
      <c r="A12" s="4"/>
      <c r="B12" s="12" t="s">
        <v>8</v>
      </c>
      <c r="C12" s="19"/>
      <c r="D12" s="4" t="s">
        <v>26</v>
      </c>
      <c r="F12" s="36"/>
    </row>
    <row r="13" spans="1:24" x14ac:dyDescent="0.25">
      <c r="A13" s="4"/>
      <c r="B13" s="12" t="s">
        <v>9</v>
      </c>
      <c r="C13" s="19"/>
      <c r="D13" s="4" t="s">
        <v>27</v>
      </c>
    </row>
    <row r="14" spans="1:24" x14ac:dyDescent="0.25">
      <c r="A14" s="4"/>
      <c r="B14" s="12" t="s">
        <v>10</v>
      </c>
      <c r="C14" s="19" t="str">
        <f>VLOOKUP($A$11,$A$20:$C$23,2,0)</f>
        <v>Gửi sếp đơn yêu cầu mua hàng (PR)</v>
      </c>
      <c r="D14" s="4"/>
    </row>
    <row r="15" spans="1:24" x14ac:dyDescent="0.25">
      <c r="A15" s="4"/>
      <c r="B15" s="12" t="s">
        <v>11</v>
      </c>
      <c r="C15" s="19" t="s">
        <v>12</v>
      </c>
      <c r="D15" s="4"/>
    </row>
    <row r="16" spans="1:24" ht="119.25" customHeight="1" x14ac:dyDescent="0.25">
      <c r="A16" s="4"/>
      <c r="B16" s="12" t="s">
        <v>13</v>
      </c>
      <c r="C16" s="13" t="str">
        <f>VLOOKUP($A$11,$A$20:$C$23,3,0)</f>
        <v>&lt;b&gt;Chào Sếp&lt;/b&gt;, em là &lt;strong&gt;XYZ - Chỉ huy trưởng công trình ABC&lt;/strong&gt;&lt;br&gt;&lt;br&gt;Em gửi sếp file đề nghị mua hàng.&lt;br&gt;Mong Sếp kiểm tra và phản hồi thông tin sớm giúp e.&lt;br&gt;Nếu cần thêm thông tin gì Sếp phản hồi lại cho e để e bổ sung&lt;br&gt;Thông tin chi tiết Sếp vui lòng xem file đính kèm.&lt;br&gt;&lt;br&gt;&lt;i&gt;Trân trọng!&lt;/i&gt;</v>
      </c>
      <c r="D16" s="4"/>
    </row>
    <row r="17" spans="1:12" ht="12" customHeight="1" x14ac:dyDescent="0.25"/>
    <row r="18" spans="1:12" s="14" customFormat="1" ht="21" customHeight="1" x14ac:dyDescent="0.25">
      <c r="A18" s="20" t="s">
        <v>37</v>
      </c>
      <c r="B18" s="15"/>
      <c r="C18" s="15"/>
      <c r="L18" s="27"/>
    </row>
    <row r="19" spans="1:12" s="17" customFormat="1" ht="30.75" customHeight="1" x14ac:dyDescent="0.25">
      <c r="A19" s="16" t="s">
        <v>3</v>
      </c>
      <c r="B19" s="16" t="s">
        <v>14</v>
      </c>
      <c r="C19" s="16" t="s">
        <v>15</v>
      </c>
      <c r="D19" s="16" t="s">
        <v>16</v>
      </c>
      <c r="E19" s="16" t="s">
        <v>6</v>
      </c>
      <c r="L19" s="28"/>
    </row>
    <row r="20" spans="1:12" ht="75" x14ac:dyDescent="0.25">
      <c r="A20" s="2">
        <v>1</v>
      </c>
      <c r="B20" s="3" t="s">
        <v>17</v>
      </c>
      <c r="C20" s="3" t="str">
        <f>"&lt;b&gt;Chào Sếp&lt;/b&gt;, em là &lt;strong&gt;" &amp; D20 &amp; "&lt;/strong&gt;&lt;br&gt;&lt;br&gt;Em gửi sếp file đề nghị mua hàng.&lt;br&gt;Mong Sếp kiểm tra và phản hồi thông tin sớm giúp e.&lt;br&gt;Nếu cần thêm thông tin gì Sếp phản hồi lại cho e để e bổ sung&lt;br&gt;Thông tin chi tiết Sếp vui lòng xem file đính kèm.&lt;br&gt;&lt;br&gt;&lt;i&gt;Trân trọng!&lt;/i&gt;"</f>
        <v>&lt;b&gt;Chào Sếp&lt;/b&gt;, em là &lt;strong&gt;XYZ - Chỉ huy trưởng công trình ABC&lt;/strong&gt;&lt;br&gt;&lt;br&gt;Em gửi sếp file đề nghị mua hàng.&lt;br&gt;Mong Sếp kiểm tra và phản hồi thông tin sớm giúp e.&lt;br&gt;Nếu cần thêm thông tin gì Sếp phản hồi lại cho e để e bổ sung&lt;br&gt;Thông tin chi tiết Sếp vui lòng xem file đính kèm.&lt;br&gt;&lt;br&gt;&lt;i&gt;Trân trọng!&lt;/i&gt;</v>
      </c>
      <c r="D20" s="3" t="s">
        <v>28</v>
      </c>
      <c r="E20" s="4"/>
    </row>
    <row r="21" spans="1:12" ht="75" x14ac:dyDescent="0.25">
      <c r="A21" s="2">
        <v>2</v>
      </c>
      <c r="B21" s="3" t="s">
        <v>18</v>
      </c>
      <c r="C21" s="3" t="str">
        <f>"&lt;b&gt;Chào anh!&lt;/b&gt;&lt;br&gt; Em gửi anh đề nghị mua hàng &lt;strong&gt;" &amp; D21 &amp; "&lt;/strong&gt;&lt;br&gt;Anh kiểm tra và phản hồi thông tin sớm giúp e.&lt;br&gt;Nếu cần thêm thông tin gì anh phản hồi lại cho e để e kiểm tra, điều chỉnh&lt;br&gt;Thông tin chi tiết anh vui lòng xem file đính kèm.&lt;br&gt;&lt;br&gt;&lt;i&gt;Trân trọng!&lt;/i&gt;"</f>
        <v>&lt;b&gt;Chào anh!&lt;/b&gt;&lt;br&gt; Em gửi anh đề nghị mua hàng &lt;strong&gt;Đợt 2 - Công trình ABC&lt;/strong&gt;&lt;br&gt;Anh kiểm tra và phản hồi thông tin sớm giúp e.&lt;br&gt;Nếu cần thêm thông tin gì anh phản hồi lại cho e để e kiểm tra, điều chỉnh&lt;br&gt;Thông tin chi tiết anh vui lòng xem file đính kèm.&lt;br&gt;&lt;br&gt;&lt;i&gt;Trân trọng!&lt;/i&gt;</v>
      </c>
      <c r="D21" s="3" t="s">
        <v>19</v>
      </c>
      <c r="E21" s="4"/>
    </row>
    <row r="22" spans="1:12" ht="75" x14ac:dyDescent="0.25">
      <c r="A22" s="2">
        <v>3</v>
      </c>
      <c r="B22" s="3" t="s">
        <v>20</v>
      </c>
      <c r="C22" s="3" t="str">
        <f>"&lt;b&gt;Chào em!&lt;/b&gt;&lt;br&gt; Anh gửi em đề nghị mua hàng &lt;strong&gt;" &amp; D22 &amp; "&lt;/strong&gt;&lt;br&gt;Em kiểm tra và phản hồi thông tin sớm cho các bộ phận thực hiện để đáp ứng yêu cầu công việc.&lt;br&gt;Nếu cần thêm thông tin gì em liên hệ trực tiếp với các bộ phận liên quan để giải quyết.&lt;br&gt;&lt;br&gt;&lt;i&gt;Trân trọng!&lt;/i&gt;"</f>
        <v>&lt;b&gt;Chào em!&lt;/b&gt;&lt;br&gt; Anh gửi em đề nghị mua hàng &lt;strong&gt;Đợt 2 - Công trình ABC&lt;/strong&gt;&lt;br&gt;Em kiểm tra và phản hồi thông tin sớm cho các bộ phận thực hiện để đáp ứng yêu cầu công việc.&lt;br&gt;Nếu cần thêm thông tin gì em liên hệ trực tiếp với các bộ phận liên quan để giải quyết.&lt;br&gt;&lt;br&gt;&lt;i&gt;Trân trọng!&lt;/i&gt;</v>
      </c>
      <c r="D22" s="3" t="s">
        <v>19</v>
      </c>
      <c r="E22" s="4"/>
    </row>
    <row r="23" spans="1:12" ht="75" x14ac:dyDescent="0.25">
      <c r="A23" s="2">
        <v>4</v>
      </c>
      <c r="B23" s="3" t="s">
        <v>20</v>
      </c>
      <c r="C23" s="3" t="str">
        <f>"&lt;b&gt;Chào em!&lt;/b&gt;&lt;br&gt; Chị gửi em đề nghị mua hàng &lt;strong&gt;" &amp; D23 &amp; "&lt;/strong&gt;&lt;br&gt;Em kiểm tra và phản hồi thông tin sớm cho các bộ phận thực hiện để đáp ứng yêu cầu công việc.&lt;br&gt;Nếu cần thêm thông tin gì em liên hệ trực tiếp với các bộ phận liên quan để giải quyết.&lt;br&gt;&lt;br&gt;&lt;i&gt;Trân trọng!&lt;/i&gt;"</f>
        <v>&lt;b&gt;Chào em!&lt;/b&gt;&lt;br&gt; Chị gửi em đề nghị mua hàng &lt;strong&gt;Đợt 2 - Công trình ABC&lt;/strong&gt;&lt;br&gt;Em kiểm tra và phản hồi thông tin sớm cho các bộ phận thực hiện để đáp ứng yêu cầu công việc.&lt;br&gt;Nếu cần thêm thông tin gì em liên hệ trực tiếp với các bộ phận liên quan để giải quyết.&lt;br&gt;&lt;br&gt;&lt;i&gt;Trân trọng!&lt;/i&gt;</v>
      </c>
      <c r="D23" s="3" t="s">
        <v>19</v>
      </c>
      <c r="E23" s="4"/>
    </row>
    <row r="27" spans="1:12" ht="15.75" x14ac:dyDescent="0.25">
      <c r="A27" s="18" t="s">
        <v>39</v>
      </c>
    </row>
    <row r="28" spans="1:12" ht="29.25" customHeight="1" x14ac:dyDescent="0.25">
      <c r="A28" s="6" t="s">
        <v>32</v>
      </c>
      <c r="B28" s="6" t="s">
        <v>21</v>
      </c>
      <c r="C28" s="6" t="s">
        <v>1</v>
      </c>
      <c r="D28" s="6" t="s">
        <v>33</v>
      </c>
    </row>
    <row r="29" spans="1:12" x14ac:dyDescent="0.25">
      <c r="A29" s="3"/>
      <c r="B29" s="3"/>
      <c r="C29" s="22"/>
      <c r="D29" s="3"/>
    </row>
    <row r="30" spans="1:12" x14ac:dyDescent="0.25">
      <c r="A30" s="3"/>
      <c r="B30" s="3"/>
      <c r="C30" s="22"/>
      <c r="D30" s="3"/>
    </row>
    <row r="31" spans="1:12" x14ac:dyDescent="0.25">
      <c r="A31" s="3"/>
      <c r="B31" s="3"/>
      <c r="C31" s="22"/>
      <c r="D31" s="3"/>
    </row>
    <row r="32" spans="1:12" x14ac:dyDescent="0.25">
      <c r="A32" s="3"/>
      <c r="B32" s="3"/>
      <c r="C32" s="22"/>
      <c r="D32" s="3"/>
    </row>
    <row r="33" spans="1:4" x14ac:dyDescent="0.25">
      <c r="A33" s="3"/>
      <c r="B33" s="3"/>
      <c r="C33" s="22"/>
      <c r="D33" s="3"/>
    </row>
    <row r="34" spans="1:4" x14ac:dyDescent="0.25">
      <c r="A34" s="3"/>
      <c r="B34" s="3"/>
      <c r="C34" s="22"/>
      <c r="D34" s="3"/>
    </row>
    <row r="35" spans="1:4" x14ac:dyDescent="0.25">
      <c r="A35" s="3"/>
      <c r="B35" s="3"/>
      <c r="C35" s="22"/>
      <c r="D35" s="3"/>
    </row>
    <row r="36" spans="1:4" x14ac:dyDescent="0.25">
      <c r="A36" s="3"/>
      <c r="B36" s="3"/>
      <c r="C36" s="22"/>
      <c r="D36" s="3"/>
    </row>
    <row r="37" spans="1:4" x14ac:dyDescent="0.25">
      <c r="A37" s="3"/>
      <c r="B37" s="3"/>
      <c r="C37" s="22"/>
      <c r="D37" s="3"/>
    </row>
    <row r="38" spans="1:4" x14ac:dyDescent="0.25">
      <c r="A38" s="3"/>
      <c r="B38" s="3"/>
      <c r="C38" s="22"/>
      <c r="D38" s="3"/>
    </row>
    <row r="39" spans="1:4" x14ac:dyDescent="0.25">
      <c r="A39" s="3"/>
      <c r="B39" s="3"/>
      <c r="C39" s="22"/>
      <c r="D39" s="3"/>
    </row>
    <row r="40" spans="1:4" x14ac:dyDescent="0.25">
      <c r="A40" s="3"/>
      <c r="B40" s="3"/>
      <c r="C40" s="22"/>
      <c r="D40" s="3"/>
    </row>
  </sheetData>
  <dataValidations count="1">
    <dataValidation type="list" allowBlank="1" showInputMessage="1" showErrorMessage="1" sqref="A11" xr:uid="{04E619E9-F68A-41FA-8331-58C2FA888E97}">
      <formula1>"1,2,3,4"</formula1>
    </dataValidation>
  </dataValidations>
  <hyperlinks>
    <hyperlink ref="P5" r:id="rId1" xr:uid="{280CED7B-6406-4B23-A356-CCBB260B4541}"/>
    <hyperlink ref="P6" r:id="rId2" xr:uid="{0442F33F-EB84-4B8B-A772-8F34C0CC1FF2}"/>
  </hyperlinks>
  <pageMargins left="0.7" right="0.7" top="0.75" bottom="0.75" header="0.3" footer="0.3"/>
  <pageSetup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11912-800E-4D82-BF39-1B9589D78743}">
  <sheetPr codeName="ShInbox">
    <tabColor rgb="FF002060"/>
  </sheetPr>
  <dimension ref="C2"/>
  <sheetViews>
    <sheetView workbookViewId="0">
      <selection activeCell="G25" sqref="G25"/>
    </sheetView>
  </sheetViews>
  <sheetFormatPr defaultRowHeight="15" x14ac:dyDescent="0.25"/>
  <sheetData>
    <row r="2" spans="3:3" ht="18.75" x14ac:dyDescent="0.3">
      <c r="C2" s="31" t="s">
        <v>36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8AF0-737C-4D17-A93B-132DAC8F16F5}">
  <sheetPr codeName="ShData">
    <tabColor rgb="FFFF0000"/>
  </sheetPr>
  <dimension ref="B4:X38"/>
  <sheetViews>
    <sheetView tabSelected="1" zoomScale="90" zoomScaleNormal="90" workbookViewId="0">
      <selection activeCell="H11" sqref="H11"/>
    </sheetView>
  </sheetViews>
  <sheetFormatPr defaultRowHeight="15" x14ac:dyDescent="0.25"/>
  <cols>
    <col min="1" max="1" width="4.5703125" style="1" customWidth="1"/>
    <col min="2" max="2" width="5" style="117" bestFit="1" customWidth="1"/>
    <col min="3" max="3" width="24" style="1" bestFit="1" customWidth="1"/>
    <col min="4" max="4" width="11.28515625" style="115" customWidth="1"/>
    <col min="5" max="5" width="16.28515625" style="1" customWidth="1"/>
    <col min="6" max="6" width="22.42578125" style="1" bestFit="1" customWidth="1"/>
    <col min="7" max="7" width="15.140625" style="1" customWidth="1"/>
    <col min="8" max="8" width="28.140625" style="1" bestFit="1" customWidth="1"/>
    <col min="9" max="9" width="9.28515625" style="1" bestFit="1" customWidth="1"/>
    <col min="10" max="10" width="11.85546875" style="1" customWidth="1"/>
    <col min="11" max="11" width="11.140625" style="1" bestFit="1" customWidth="1"/>
    <col min="12" max="12" width="54.7109375" style="1" customWidth="1"/>
    <col min="13" max="13" width="42.42578125" style="1" customWidth="1"/>
    <col min="14" max="14" width="20.28515625" style="1" customWidth="1"/>
    <col min="15" max="23" width="9.140625" style="1"/>
    <col min="24" max="24" width="15.85546875" style="1" bestFit="1" customWidth="1"/>
    <col min="25" max="16384" width="9.140625" style="1"/>
  </cols>
  <sheetData>
    <row r="4" spans="2:14" ht="20.25" x14ac:dyDescent="0.25">
      <c r="E4" s="118" t="s">
        <v>61</v>
      </c>
      <c r="F4" s="118"/>
    </row>
    <row r="6" spans="2:14" ht="42.75" customHeight="1" x14ac:dyDescent="0.25">
      <c r="B6" s="134" t="s">
        <v>0</v>
      </c>
      <c r="C6" s="134" t="s">
        <v>110</v>
      </c>
      <c r="D6" s="119" t="s">
        <v>63</v>
      </c>
      <c r="E6" s="134" t="s">
        <v>62</v>
      </c>
      <c r="F6" s="134" t="s">
        <v>293</v>
      </c>
      <c r="G6" s="134" t="s">
        <v>64</v>
      </c>
      <c r="H6" s="133" t="s">
        <v>154</v>
      </c>
      <c r="I6" s="134" t="s">
        <v>129</v>
      </c>
      <c r="J6" s="133" t="s">
        <v>130</v>
      </c>
      <c r="K6" s="134" t="s">
        <v>155</v>
      </c>
      <c r="L6" s="133" t="s">
        <v>291</v>
      </c>
      <c r="M6" s="133" t="s">
        <v>292</v>
      </c>
      <c r="N6" s="10" t="s">
        <v>296</v>
      </c>
    </row>
    <row r="7" spans="2:14" ht="60" x14ac:dyDescent="0.25">
      <c r="B7" s="134" t="s">
        <v>116</v>
      </c>
      <c r="C7" s="10" t="s">
        <v>146</v>
      </c>
      <c r="D7" s="121" t="s">
        <v>195</v>
      </c>
      <c r="E7" s="4" t="s">
        <v>111</v>
      </c>
      <c r="F7" s="136" t="s">
        <v>299</v>
      </c>
      <c r="G7" s="4" t="s">
        <v>114</v>
      </c>
      <c r="H7" s="4" t="s">
        <v>295</v>
      </c>
      <c r="I7" s="4" t="s">
        <v>171</v>
      </c>
      <c r="J7" s="4">
        <v>1</v>
      </c>
      <c r="K7" s="4" t="s">
        <v>188</v>
      </c>
      <c r="L7" s="3" t="str">
        <f ca="1">"&lt;b&gt;Dear anh chị!&lt;/b&gt;&lt;br&gt;&lt;br&gt;Phòng kế toán gửi anh chị bảng lương tháng &lt;strong&gt;" &amp; MONTH(NOW()) &amp; "&lt;/strong&gt;&lt;br&gt;Thông tin chi tiết anh chị vui lòng xem file đính kèm.&lt;br&gt;&lt;br&gt;&lt;i&gt;Trân trọng!&lt;/i&gt;"</f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7" s="3" t="s">
        <v>302</v>
      </c>
      <c r="N7" s="4"/>
    </row>
    <row r="8" spans="2:14" ht="60" x14ac:dyDescent="0.25">
      <c r="B8" s="2"/>
      <c r="C8" s="4"/>
      <c r="D8" s="121" t="s">
        <v>196</v>
      </c>
      <c r="E8" s="4" t="s">
        <v>112</v>
      </c>
      <c r="F8" s="136" t="s">
        <v>299</v>
      </c>
      <c r="G8" s="4" t="s">
        <v>115</v>
      </c>
      <c r="H8" s="4" t="s">
        <v>228</v>
      </c>
      <c r="I8" s="4" t="s">
        <v>172</v>
      </c>
      <c r="J8" s="4">
        <v>1</v>
      </c>
      <c r="K8" s="4" t="s">
        <v>188</v>
      </c>
      <c r="L8" s="3" t="str">
        <f t="shared" ref="L8:L38" ca="1" si="0">"&lt;b&gt;Dear anh chị!&lt;/b&gt;&lt;br&gt;&lt;br&gt;Phòng kế toán gửi anh chị bảng lương tháng &lt;strong&gt;" &amp; MONTH(NOW()) &amp; "&lt;/strong&gt;&lt;br&gt;Thông tin chi tiết anh chị vui lòng xem file đính kèm.&lt;br&gt;&lt;br&gt;&lt;i&gt;Trân trọng!&lt;/i&gt;"</f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8" s="3" t="s">
        <v>303</v>
      </c>
      <c r="N8" s="4"/>
    </row>
    <row r="9" spans="2:14" ht="60" x14ac:dyDescent="0.25">
      <c r="B9" s="2"/>
      <c r="C9" s="4"/>
      <c r="D9" s="121" t="s">
        <v>197</v>
      </c>
      <c r="E9" s="4" t="s">
        <v>113</v>
      </c>
      <c r="F9" s="136" t="s">
        <v>299</v>
      </c>
      <c r="G9" s="4" t="s">
        <v>115</v>
      </c>
      <c r="H9" s="4" t="s">
        <v>229</v>
      </c>
      <c r="I9" s="4" t="s">
        <v>172</v>
      </c>
      <c r="J9" s="4">
        <v>1</v>
      </c>
      <c r="K9" s="4" t="s">
        <v>188</v>
      </c>
      <c r="L9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9" s="3" t="s">
        <v>304</v>
      </c>
      <c r="N9" s="4"/>
    </row>
    <row r="10" spans="2:14" ht="60" x14ac:dyDescent="0.25">
      <c r="B10" s="134" t="s">
        <v>117</v>
      </c>
      <c r="C10" s="10" t="s">
        <v>118</v>
      </c>
      <c r="D10" s="121" t="s">
        <v>198</v>
      </c>
      <c r="E10" s="4" t="s">
        <v>119</v>
      </c>
      <c r="F10" s="136" t="s">
        <v>299</v>
      </c>
      <c r="G10" s="4" t="s">
        <v>126</v>
      </c>
      <c r="H10" s="4" t="s">
        <v>230</v>
      </c>
      <c r="I10" s="4" t="s">
        <v>170</v>
      </c>
      <c r="J10" s="4">
        <v>1</v>
      </c>
      <c r="K10" s="4" t="s">
        <v>189</v>
      </c>
      <c r="L10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0" s="3" t="s">
        <v>305</v>
      </c>
      <c r="N10" s="4"/>
    </row>
    <row r="11" spans="2:14" ht="60" x14ac:dyDescent="0.25">
      <c r="B11" s="2"/>
      <c r="C11" s="4"/>
      <c r="D11" s="121" t="s">
        <v>199</v>
      </c>
      <c r="E11" s="4" t="s">
        <v>120</v>
      </c>
      <c r="F11" s="136" t="s">
        <v>299</v>
      </c>
      <c r="G11" s="4" t="s">
        <v>127</v>
      </c>
      <c r="H11" s="4" t="s">
        <v>165</v>
      </c>
      <c r="I11" s="4" t="s">
        <v>169</v>
      </c>
      <c r="J11" s="4">
        <v>1</v>
      </c>
      <c r="K11" s="4" t="s">
        <v>189</v>
      </c>
      <c r="L11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1" s="3" t="s">
        <v>306</v>
      </c>
      <c r="N11" s="4"/>
    </row>
    <row r="12" spans="2:14" ht="60" x14ac:dyDescent="0.25">
      <c r="B12" s="2"/>
      <c r="C12" s="4"/>
      <c r="D12" s="121" t="s">
        <v>200</v>
      </c>
      <c r="E12" s="4" t="s">
        <v>121</v>
      </c>
      <c r="F12" s="136" t="s">
        <v>299</v>
      </c>
      <c r="G12" s="4" t="s">
        <v>128</v>
      </c>
      <c r="H12" s="4" t="s">
        <v>167</v>
      </c>
      <c r="I12" s="4" t="s">
        <v>150</v>
      </c>
      <c r="J12" s="4">
        <v>1</v>
      </c>
      <c r="K12" s="4" t="s">
        <v>189</v>
      </c>
      <c r="L12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2" s="3" t="s">
        <v>307</v>
      </c>
      <c r="N12" s="4"/>
    </row>
    <row r="13" spans="2:14" ht="60" x14ac:dyDescent="0.25">
      <c r="B13" s="2"/>
      <c r="C13" s="4"/>
      <c r="D13" s="121" t="s">
        <v>201</v>
      </c>
      <c r="E13" s="4" t="s">
        <v>122</v>
      </c>
      <c r="F13" s="136" t="s">
        <v>299</v>
      </c>
      <c r="G13" s="4" t="s">
        <v>128</v>
      </c>
      <c r="H13" s="4" t="s">
        <v>165</v>
      </c>
      <c r="I13" s="4" t="s">
        <v>150</v>
      </c>
      <c r="J13" s="4">
        <v>1</v>
      </c>
      <c r="K13" s="4" t="s">
        <v>189</v>
      </c>
      <c r="L13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3" s="3" t="s">
        <v>308</v>
      </c>
      <c r="N13" s="4"/>
    </row>
    <row r="14" spans="2:14" ht="60" x14ac:dyDescent="0.25">
      <c r="B14" s="2"/>
      <c r="C14" s="4"/>
      <c r="D14" s="121" t="s">
        <v>202</v>
      </c>
      <c r="E14" s="4" t="s">
        <v>123</v>
      </c>
      <c r="F14" s="136" t="s">
        <v>299</v>
      </c>
      <c r="G14" s="4" t="s">
        <v>128</v>
      </c>
      <c r="H14" s="4" t="s">
        <v>168</v>
      </c>
      <c r="I14" s="4" t="s">
        <v>151</v>
      </c>
      <c r="J14" s="4">
        <v>1</v>
      </c>
      <c r="K14" s="4" t="s">
        <v>189</v>
      </c>
      <c r="L14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4" s="3" t="s">
        <v>309</v>
      </c>
      <c r="N14" s="4"/>
    </row>
    <row r="15" spans="2:14" ht="60" x14ac:dyDescent="0.25">
      <c r="B15" s="2"/>
      <c r="C15" s="4"/>
      <c r="D15" s="121" t="s">
        <v>203</v>
      </c>
      <c r="E15" s="4" t="s">
        <v>124</v>
      </c>
      <c r="F15" s="136" t="s">
        <v>299</v>
      </c>
      <c r="G15" s="4" t="s">
        <v>128</v>
      </c>
      <c r="H15" s="4" t="s">
        <v>166</v>
      </c>
      <c r="I15" s="4" t="s">
        <v>151</v>
      </c>
      <c r="J15" s="4">
        <v>1</v>
      </c>
      <c r="K15" s="4" t="s">
        <v>189</v>
      </c>
      <c r="L15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5" s="3" t="s">
        <v>310</v>
      </c>
      <c r="N15" s="4"/>
    </row>
    <row r="16" spans="2:14" ht="60" x14ac:dyDescent="0.25">
      <c r="B16" s="2"/>
      <c r="C16" s="4"/>
      <c r="D16" s="121" t="s">
        <v>204</v>
      </c>
      <c r="E16" s="4" t="s">
        <v>125</v>
      </c>
      <c r="F16" s="136" t="s">
        <v>299</v>
      </c>
      <c r="G16" s="4" t="s">
        <v>128</v>
      </c>
      <c r="H16" s="4" t="s">
        <v>164</v>
      </c>
      <c r="I16" s="4" t="s">
        <v>151</v>
      </c>
      <c r="J16" s="4">
        <v>1</v>
      </c>
      <c r="K16" s="4" t="s">
        <v>189</v>
      </c>
      <c r="L16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6" s="3" t="s">
        <v>311</v>
      </c>
      <c r="N16" s="4"/>
    </row>
    <row r="17" spans="2:14" ht="60" x14ac:dyDescent="0.25">
      <c r="B17" s="2"/>
      <c r="C17" s="4"/>
      <c r="D17" s="121" t="s">
        <v>205</v>
      </c>
      <c r="E17" s="4" t="s">
        <v>281</v>
      </c>
      <c r="F17" s="136" t="s">
        <v>299</v>
      </c>
      <c r="G17" s="4" t="s">
        <v>128</v>
      </c>
      <c r="H17" s="4" t="s">
        <v>163</v>
      </c>
      <c r="I17" s="4" t="s">
        <v>152</v>
      </c>
      <c r="J17" s="4">
        <v>1</v>
      </c>
      <c r="K17" s="4" t="s">
        <v>189</v>
      </c>
      <c r="L17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7" s="3" t="s">
        <v>312</v>
      </c>
      <c r="N17" s="4"/>
    </row>
    <row r="18" spans="2:14" ht="60" x14ac:dyDescent="0.25">
      <c r="B18" s="2"/>
      <c r="C18" s="4"/>
      <c r="D18" s="121" t="s">
        <v>206</v>
      </c>
      <c r="E18" s="4" t="s">
        <v>282</v>
      </c>
      <c r="F18" s="136" t="s">
        <v>299</v>
      </c>
      <c r="G18" s="4" t="s">
        <v>128</v>
      </c>
      <c r="H18" s="4" t="s">
        <v>163</v>
      </c>
      <c r="I18" s="4" t="s">
        <v>153</v>
      </c>
      <c r="J18" s="4">
        <v>1</v>
      </c>
      <c r="K18" s="4" t="s">
        <v>189</v>
      </c>
      <c r="L18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8" s="3" t="s">
        <v>313</v>
      </c>
      <c r="N18" s="4"/>
    </row>
    <row r="19" spans="2:14" ht="60" x14ac:dyDescent="0.25">
      <c r="B19" s="134" t="s">
        <v>133</v>
      </c>
      <c r="C19" s="10" t="s">
        <v>135</v>
      </c>
      <c r="D19" s="121" t="s">
        <v>207</v>
      </c>
      <c r="E19" s="4" t="s">
        <v>131</v>
      </c>
      <c r="F19" s="136" t="s">
        <v>299</v>
      </c>
      <c r="G19" s="4" t="s">
        <v>126</v>
      </c>
      <c r="H19" s="4" t="s">
        <v>231</v>
      </c>
      <c r="I19" s="4" t="s">
        <v>170</v>
      </c>
      <c r="J19" s="4">
        <v>1</v>
      </c>
      <c r="K19" s="4" t="s">
        <v>190</v>
      </c>
      <c r="L19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19" s="3" t="s">
        <v>314</v>
      </c>
      <c r="N19" s="4"/>
    </row>
    <row r="20" spans="2:14" ht="60" x14ac:dyDescent="0.25">
      <c r="B20" s="2"/>
      <c r="C20" s="4"/>
      <c r="D20" s="121" t="s">
        <v>208</v>
      </c>
      <c r="E20" s="4" t="s">
        <v>136</v>
      </c>
      <c r="F20" s="136" t="s">
        <v>299</v>
      </c>
      <c r="G20" s="4" t="s">
        <v>127</v>
      </c>
      <c r="H20" s="4" t="s">
        <v>179</v>
      </c>
      <c r="I20" s="4" t="s">
        <v>169</v>
      </c>
      <c r="J20" s="4">
        <v>1</v>
      </c>
      <c r="K20" s="4" t="s">
        <v>190</v>
      </c>
      <c r="L20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0" s="3" t="s">
        <v>315</v>
      </c>
      <c r="N20" s="4"/>
    </row>
    <row r="21" spans="2:14" ht="60" x14ac:dyDescent="0.25">
      <c r="B21" s="2"/>
      <c r="C21" s="4"/>
      <c r="D21" s="121" t="s">
        <v>209</v>
      </c>
      <c r="E21" s="4" t="s">
        <v>137</v>
      </c>
      <c r="F21" s="136" t="s">
        <v>299</v>
      </c>
      <c r="G21" s="4" t="s">
        <v>127</v>
      </c>
      <c r="H21" s="4" t="s">
        <v>180</v>
      </c>
      <c r="I21" s="4" t="s">
        <v>169</v>
      </c>
      <c r="J21" s="4">
        <v>1</v>
      </c>
      <c r="K21" s="4" t="s">
        <v>190</v>
      </c>
      <c r="L21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1" s="3" t="s">
        <v>316</v>
      </c>
      <c r="N21" s="4"/>
    </row>
    <row r="22" spans="2:14" ht="60" x14ac:dyDescent="0.25">
      <c r="B22" s="2"/>
      <c r="C22" s="4"/>
      <c r="D22" s="121" t="s">
        <v>210</v>
      </c>
      <c r="E22" s="4" t="s">
        <v>138</v>
      </c>
      <c r="F22" s="136" t="s">
        <v>299</v>
      </c>
      <c r="G22" s="4" t="s">
        <v>128</v>
      </c>
      <c r="H22" s="4" t="s">
        <v>181</v>
      </c>
      <c r="I22" s="4" t="s">
        <v>150</v>
      </c>
      <c r="J22" s="4">
        <v>1</v>
      </c>
      <c r="K22" s="4" t="s">
        <v>190</v>
      </c>
      <c r="L22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2" s="3" t="s">
        <v>317</v>
      </c>
      <c r="N22" s="4"/>
    </row>
    <row r="23" spans="2:14" ht="60" x14ac:dyDescent="0.25">
      <c r="B23" s="2"/>
      <c r="C23" s="4"/>
      <c r="D23" s="121" t="s">
        <v>211</v>
      </c>
      <c r="E23" s="4" t="s">
        <v>139</v>
      </c>
      <c r="F23" s="136" t="s">
        <v>299</v>
      </c>
      <c r="G23" s="4" t="s">
        <v>128</v>
      </c>
      <c r="H23" s="4" t="s">
        <v>181</v>
      </c>
      <c r="I23" s="4" t="s">
        <v>150</v>
      </c>
      <c r="J23" s="4">
        <v>1</v>
      </c>
      <c r="K23" s="4" t="s">
        <v>190</v>
      </c>
      <c r="L23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3" s="3" t="s">
        <v>318</v>
      </c>
      <c r="N23" s="4"/>
    </row>
    <row r="24" spans="2:14" ht="60" x14ac:dyDescent="0.25">
      <c r="B24" s="2"/>
      <c r="C24" s="4"/>
      <c r="D24" s="121" t="s">
        <v>212</v>
      </c>
      <c r="E24" s="4" t="s">
        <v>140</v>
      </c>
      <c r="F24" s="136" t="s">
        <v>299</v>
      </c>
      <c r="G24" s="4" t="s">
        <v>128</v>
      </c>
      <c r="H24" s="4" t="s">
        <v>181</v>
      </c>
      <c r="I24" s="4" t="s">
        <v>150</v>
      </c>
      <c r="J24" s="4">
        <v>1</v>
      </c>
      <c r="K24" s="4" t="s">
        <v>190</v>
      </c>
      <c r="L24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4" s="3" t="s">
        <v>319</v>
      </c>
      <c r="N24" s="4"/>
    </row>
    <row r="25" spans="2:14" ht="60" x14ac:dyDescent="0.25">
      <c r="B25" s="2"/>
      <c r="C25" s="4"/>
      <c r="D25" s="121" t="s">
        <v>213</v>
      </c>
      <c r="E25" s="4" t="s">
        <v>141</v>
      </c>
      <c r="F25" s="136" t="s">
        <v>299</v>
      </c>
      <c r="G25" s="4" t="s">
        <v>128</v>
      </c>
      <c r="H25" s="4" t="s">
        <v>181</v>
      </c>
      <c r="I25" s="4" t="s">
        <v>151</v>
      </c>
      <c r="J25" s="4">
        <v>1</v>
      </c>
      <c r="K25" s="4" t="s">
        <v>190</v>
      </c>
      <c r="L25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5" s="3" t="s">
        <v>320</v>
      </c>
      <c r="N25" s="4"/>
    </row>
    <row r="26" spans="2:14" ht="60" x14ac:dyDescent="0.25">
      <c r="B26" s="2"/>
      <c r="C26" s="4"/>
      <c r="D26" s="121" t="s">
        <v>214</v>
      </c>
      <c r="E26" s="4" t="s">
        <v>142</v>
      </c>
      <c r="F26" s="136" t="s">
        <v>299</v>
      </c>
      <c r="G26" s="4" t="s">
        <v>128</v>
      </c>
      <c r="H26" s="4" t="s">
        <v>183</v>
      </c>
      <c r="I26" s="4" t="s">
        <v>151</v>
      </c>
      <c r="J26" s="4">
        <v>1</v>
      </c>
      <c r="K26" s="4" t="s">
        <v>190</v>
      </c>
      <c r="L26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6" s="3" t="s">
        <v>321</v>
      </c>
      <c r="N26" s="4"/>
    </row>
    <row r="27" spans="2:14" ht="60" x14ac:dyDescent="0.25">
      <c r="B27" s="2"/>
      <c r="C27" s="4"/>
      <c r="D27" s="121" t="s">
        <v>215</v>
      </c>
      <c r="E27" s="4" t="s">
        <v>143</v>
      </c>
      <c r="F27" s="136" t="s">
        <v>299</v>
      </c>
      <c r="G27" s="4" t="s">
        <v>128</v>
      </c>
      <c r="H27" s="4" t="s">
        <v>184</v>
      </c>
      <c r="I27" s="4" t="s">
        <v>151</v>
      </c>
      <c r="J27" s="4">
        <v>1</v>
      </c>
      <c r="K27" s="4" t="s">
        <v>190</v>
      </c>
      <c r="L27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7" s="3" t="s">
        <v>322</v>
      </c>
      <c r="N27" s="4"/>
    </row>
    <row r="28" spans="2:14" ht="60" x14ac:dyDescent="0.25">
      <c r="B28" s="2"/>
      <c r="C28" s="4"/>
      <c r="D28" s="121" t="s">
        <v>216</v>
      </c>
      <c r="E28" s="4" t="s">
        <v>144</v>
      </c>
      <c r="F28" s="136" t="s">
        <v>299</v>
      </c>
      <c r="G28" s="4" t="s">
        <v>128</v>
      </c>
      <c r="H28" s="4" t="s">
        <v>182</v>
      </c>
      <c r="I28" s="4" t="s">
        <v>152</v>
      </c>
      <c r="J28" s="4">
        <v>1</v>
      </c>
      <c r="K28" s="4" t="s">
        <v>190</v>
      </c>
      <c r="L28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8" s="3" t="s">
        <v>323</v>
      </c>
      <c r="N28" s="4"/>
    </row>
    <row r="29" spans="2:14" ht="60" x14ac:dyDescent="0.25">
      <c r="B29" s="134" t="s">
        <v>145</v>
      </c>
      <c r="C29" s="10" t="s">
        <v>134</v>
      </c>
      <c r="D29" s="121" t="s">
        <v>217</v>
      </c>
      <c r="E29" s="4" t="s">
        <v>132</v>
      </c>
      <c r="F29" s="136" t="s">
        <v>299</v>
      </c>
      <c r="G29" s="4" t="s">
        <v>126</v>
      </c>
      <c r="H29" s="4" t="s">
        <v>232</v>
      </c>
      <c r="I29" s="4" t="s">
        <v>170</v>
      </c>
      <c r="J29" s="4">
        <v>1</v>
      </c>
      <c r="K29" s="4" t="s">
        <v>191</v>
      </c>
      <c r="L29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29" s="3" t="s">
        <v>324</v>
      </c>
      <c r="N29" s="4"/>
    </row>
    <row r="30" spans="2:14" ht="60" x14ac:dyDescent="0.25">
      <c r="B30" s="2"/>
      <c r="C30" s="4"/>
      <c r="D30" s="121" t="s">
        <v>218</v>
      </c>
      <c r="E30" s="4" t="s">
        <v>147</v>
      </c>
      <c r="F30" s="136" t="s">
        <v>299</v>
      </c>
      <c r="G30" s="4" t="s">
        <v>127</v>
      </c>
      <c r="H30" s="4" t="s">
        <v>185</v>
      </c>
      <c r="I30" s="4" t="s">
        <v>169</v>
      </c>
      <c r="J30" s="4">
        <v>1</v>
      </c>
      <c r="K30" s="4" t="s">
        <v>191</v>
      </c>
      <c r="L30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0" s="3" t="s">
        <v>325</v>
      </c>
      <c r="N30" s="4"/>
    </row>
    <row r="31" spans="2:14" ht="60" x14ac:dyDescent="0.25">
      <c r="B31" s="2"/>
      <c r="C31" s="4"/>
      <c r="D31" s="121" t="s">
        <v>219</v>
      </c>
      <c r="E31" s="4" t="s">
        <v>148</v>
      </c>
      <c r="F31" s="136" t="s">
        <v>299</v>
      </c>
      <c r="G31" s="4" t="s">
        <v>128</v>
      </c>
      <c r="H31" s="4" t="s">
        <v>186</v>
      </c>
      <c r="I31" s="4" t="s">
        <v>150</v>
      </c>
      <c r="J31" s="4">
        <v>1</v>
      </c>
      <c r="K31" s="4" t="s">
        <v>191</v>
      </c>
      <c r="L31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1" s="3" t="s">
        <v>326</v>
      </c>
      <c r="N31" s="4"/>
    </row>
    <row r="32" spans="2:14" ht="60" x14ac:dyDescent="0.25">
      <c r="B32" s="2"/>
      <c r="C32" s="4"/>
      <c r="D32" s="121" t="s">
        <v>220</v>
      </c>
      <c r="E32" s="4" t="s">
        <v>149</v>
      </c>
      <c r="F32" s="136" t="s">
        <v>299</v>
      </c>
      <c r="G32" s="4" t="s">
        <v>128</v>
      </c>
      <c r="H32" s="4" t="s">
        <v>187</v>
      </c>
      <c r="I32" s="4" t="s">
        <v>151</v>
      </c>
      <c r="J32" s="4">
        <v>1</v>
      </c>
      <c r="K32" s="4" t="s">
        <v>191</v>
      </c>
      <c r="L32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2" s="3" t="s">
        <v>327</v>
      </c>
      <c r="N32" s="4"/>
    </row>
    <row r="33" spans="2:24" ht="60" x14ac:dyDescent="0.25">
      <c r="B33" s="134" t="s">
        <v>156</v>
      </c>
      <c r="C33" s="10" t="s">
        <v>157</v>
      </c>
      <c r="D33" s="121" t="s">
        <v>221</v>
      </c>
      <c r="E33" s="4" t="s">
        <v>158</v>
      </c>
      <c r="F33" s="136" t="s">
        <v>299</v>
      </c>
      <c r="G33" s="4" t="s">
        <v>126</v>
      </c>
      <c r="H33" s="4" t="s">
        <v>233</v>
      </c>
      <c r="I33" s="4" t="s">
        <v>170</v>
      </c>
      <c r="J33" s="4">
        <v>1</v>
      </c>
      <c r="K33" s="4" t="s">
        <v>192</v>
      </c>
      <c r="L33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3" s="3" t="s">
        <v>328</v>
      </c>
      <c r="N33" s="4"/>
    </row>
    <row r="34" spans="2:24" ht="60" x14ac:dyDescent="0.25">
      <c r="B34" s="2"/>
      <c r="C34" s="4"/>
      <c r="D34" s="121" t="s">
        <v>222</v>
      </c>
      <c r="E34" s="4" t="s">
        <v>159</v>
      </c>
      <c r="F34" s="136" t="s">
        <v>299</v>
      </c>
      <c r="G34" s="4" t="s">
        <v>127</v>
      </c>
      <c r="H34" s="4" t="s">
        <v>173</v>
      </c>
      <c r="I34" s="4" t="s">
        <v>169</v>
      </c>
      <c r="J34" s="4">
        <v>1</v>
      </c>
      <c r="K34" s="4" t="s">
        <v>192</v>
      </c>
      <c r="L34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4" s="3" t="s">
        <v>329</v>
      </c>
      <c r="N34" s="4"/>
    </row>
    <row r="35" spans="2:24" ht="60" x14ac:dyDescent="0.25">
      <c r="B35" s="2"/>
      <c r="C35" s="4"/>
      <c r="D35" s="121" t="s">
        <v>223</v>
      </c>
      <c r="E35" s="4" t="s">
        <v>160</v>
      </c>
      <c r="F35" s="136" t="s">
        <v>299</v>
      </c>
      <c r="G35" s="4" t="s">
        <v>128</v>
      </c>
      <c r="H35" s="4" t="s">
        <v>174</v>
      </c>
      <c r="I35" s="4" t="s">
        <v>150</v>
      </c>
      <c r="J35" s="4">
        <v>1</v>
      </c>
      <c r="K35" s="4" t="s">
        <v>192</v>
      </c>
      <c r="L35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5" s="3" t="s">
        <v>330</v>
      </c>
      <c r="N35" s="4"/>
    </row>
    <row r="36" spans="2:24" ht="60" x14ac:dyDescent="0.25">
      <c r="B36" s="2"/>
      <c r="C36" s="4"/>
      <c r="D36" s="121" t="s">
        <v>224</v>
      </c>
      <c r="E36" s="4" t="s">
        <v>161</v>
      </c>
      <c r="F36" s="136" t="s">
        <v>299</v>
      </c>
      <c r="G36" s="4" t="s">
        <v>128</v>
      </c>
      <c r="H36" s="4" t="s">
        <v>175</v>
      </c>
      <c r="I36" s="4" t="s">
        <v>151</v>
      </c>
      <c r="J36" s="4">
        <v>1</v>
      </c>
      <c r="K36" s="4" t="s">
        <v>192</v>
      </c>
      <c r="L36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6" s="3" t="s">
        <v>331</v>
      </c>
      <c r="N36" s="4"/>
      <c r="X36" s="116"/>
    </row>
    <row r="37" spans="2:24" ht="60" x14ac:dyDescent="0.25">
      <c r="B37" s="2"/>
      <c r="C37" s="4"/>
      <c r="D37" s="121" t="s">
        <v>225</v>
      </c>
      <c r="E37" s="4" t="s">
        <v>162</v>
      </c>
      <c r="F37" s="136" t="s">
        <v>299</v>
      </c>
      <c r="G37" s="4" t="s">
        <v>128</v>
      </c>
      <c r="H37" s="4" t="s">
        <v>176</v>
      </c>
      <c r="I37" s="4" t="s">
        <v>151</v>
      </c>
      <c r="J37" s="4">
        <v>1</v>
      </c>
      <c r="K37" s="4" t="s">
        <v>192</v>
      </c>
      <c r="L37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7" s="3" t="s">
        <v>332</v>
      </c>
      <c r="N37" s="4"/>
    </row>
    <row r="38" spans="2:24" ht="60" x14ac:dyDescent="0.25">
      <c r="B38" s="2"/>
      <c r="C38" s="4"/>
      <c r="D38" s="121" t="s">
        <v>226</v>
      </c>
      <c r="E38" s="4" t="s">
        <v>177</v>
      </c>
      <c r="F38" s="136" t="s">
        <v>299</v>
      </c>
      <c r="G38" s="4" t="s">
        <v>128</v>
      </c>
      <c r="H38" s="4" t="s">
        <v>178</v>
      </c>
      <c r="I38" s="4" t="s">
        <v>151</v>
      </c>
      <c r="J38" s="4">
        <v>1</v>
      </c>
      <c r="K38" s="4" t="s">
        <v>192</v>
      </c>
      <c r="L38" s="3" t="str">
        <f t="shared" ca="1" si="0"/>
        <v>&lt;b&gt;Dear anh chị!&lt;/b&gt;&lt;br&gt;&lt;br&gt;Phòng kế toán gửi anh chị bảng lương tháng &lt;strong&gt;11&lt;/strong&gt;&lt;br&gt;Thông tin chi tiết anh chị vui lòng xem file đính kèm.&lt;br&gt;&lt;br&gt;&lt;i&gt;Trân trọng!&lt;/i&gt;</v>
      </c>
      <c r="M38" s="3" t="s">
        <v>333</v>
      </c>
      <c r="N38" s="4"/>
    </row>
  </sheetData>
  <phoneticPr fontId="4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ShowForm">
                <anchor moveWithCells="1" sizeWithCells="1">
                  <from>
                    <xdr:col>8</xdr:col>
                    <xdr:colOff>371475</xdr:colOff>
                    <xdr:row>1</xdr:row>
                    <xdr:rowOff>142875</xdr:rowOff>
                  </from>
                  <to>
                    <xdr:col>10</xdr:col>
                    <xdr:colOff>38100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GuiPhieuLuongNhanVien">
                <anchor moveWithCells="1" sizeWithCells="1">
                  <from>
                    <xdr:col>10</xdr:col>
                    <xdr:colOff>133350</xdr:colOff>
                    <xdr:row>1</xdr:row>
                    <xdr:rowOff>142875</xdr:rowOff>
                  </from>
                  <to>
                    <xdr:col>11</xdr:col>
                    <xdr:colOff>466725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019B-A12A-41D0-8C5F-761531F4EAA4}">
  <sheetPr codeName="shBL">
    <tabColor rgb="FF0070C0"/>
  </sheetPr>
  <dimension ref="B3:W42"/>
  <sheetViews>
    <sheetView zoomScaleNormal="100" workbookViewId="0">
      <selection activeCell="L2" sqref="L2"/>
    </sheetView>
  </sheetViews>
  <sheetFormatPr defaultRowHeight="15" x14ac:dyDescent="0.25"/>
  <cols>
    <col min="1" max="1" width="2.42578125" style="1" customWidth="1"/>
    <col min="2" max="2" width="4.85546875" style="1" customWidth="1"/>
    <col min="3" max="3" width="8.140625" style="1" bestFit="1" customWidth="1"/>
    <col min="4" max="4" width="13.85546875" style="1" customWidth="1"/>
    <col min="5" max="5" width="12" style="1" customWidth="1"/>
    <col min="6" max="6" width="8.7109375" style="1" customWidth="1"/>
    <col min="7" max="7" width="11.5703125" style="1" customWidth="1"/>
    <col min="8" max="8" width="7.140625" style="1" customWidth="1"/>
    <col min="9" max="9" width="8.7109375" style="1" customWidth="1"/>
    <col min="10" max="10" width="14.7109375" style="1" customWidth="1"/>
    <col min="11" max="11" width="11" style="1" customWidth="1"/>
    <col min="12" max="12" width="13.42578125" style="1" customWidth="1"/>
    <col min="13" max="13" width="6.85546875" style="1" customWidth="1"/>
    <col min="14" max="14" width="14.7109375" style="1" customWidth="1"/>
    <col min="15" max="15" width="13.42578125" style="1" customWidth="1"/>
    <col min="16" max="16" width="20" style="1" customWidth="1"/>
    <col min="17" max="17" width="13.42578125" style="1" customWidth="1"/>
    <col min="18" max="18" width="13.28515625" style="1" customWidth="1"/>
    <col min="19" max="19" width="11.85546875" style="1" customWidth="1"/>
    <col min="20" max="22" width="15" style="1" customWidth="1"/>
    <col min="23" max="23" width="9.7109375" style="1" customWidth="1"/>
    <col min="24" max="16384" width="9.140625" style="1"/>
  </cols>
  <sheetData>
    <row r="3" spans="2:23" ht="18.75" x14ac:dyDescent="0.25">
      <c r="B3" s="125" t="s">
        <v>227</v>
      </c>
      <c r="C3" s="125"/>
    </row>
    <row r="5" spans="2:23" ht="24" customHeight="1" x14ac:dyDescent="0.25">
      <c r="B5" s="126" t="str">
        <f ca="1">"BẢNG LƯƠNG CÁN BỘ CÔNG NHÂN VIÊN - THÁNG " &amp; MONTH(TODAY())</f>
        <v>BẢNG LƯƠNG CÁN BỘ CÔNG NHÂN VIÊN - THÁNG 11</v>
      </c>
      <c r="C5" s="126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</row>
    <row r="6" spans="2:23" ht="9.75" customHeight="1" x14ac:dyDescent="0.25"/>
    <row r="7" spans="2:23" ht="22.5" customHeight="1" x14ac:dyDescent="0.25">
      <c r="B7" s="137" t="s">
        <v>237</v>
      </c>
      <c r="C7" s="142" t="s">
        <v>290</v>
      </c>
      <c r="D7" s="137" t="s">
        <v>21</v>
      </c>
      <c r="E7" s="137" t="s">
        <v>238</v>
      </c>
      <c r="F7" s="137" t="s">
        <v>239</v>
      </c>
      <c r="G7" s="137" t="s">
        <v>264</v>
      </c>
      <c r="H7" s="137" t="s">
        <v>240</v>
      </c>
      <c r="I7" s="137" t="s">
        <v>241</v>
      </c>
      <c r="J7" s="137" t="s">
        <v>242</v>
      </c>
      <c r="K7" s="137" t="s">
        <v>243</v>
      </c>
      <c r="L7" s="137" t="s">
        <v>244</v>
      </c>
      <c r="M7" s="137" t="s">
        <v>271</v>
      </c>
      <c r="N7" s="137" t="s">
        <v>266</v>
      </c>
      <c r="O7" s="137" t="s">
        <v>245</v>
      </c>
      <c r="P7" s="137" t="s">
        <v>246</v>
      </c>
      <c r="Q7" s="139" t="s">
        <v>247</v>
      </c>
      <c r="R7" s="140"/>
      <c r="S7" s="140"/>
      <c r="T7" s="140"/>
      <c r="U7" s="141"/>
      <c r="V7" s="137" t="s">
        <v>251</v>
      </c>
      <c r="W7" s="138" t="s">
        <v>6</v>
      </c>
    </row>
    <row r="8" spans="2:23" ht="32.25" customHeight="1" x14ac:dyDescent="0.25">
      <c r="B8" s="137"/>
      <c r="C8" s="143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29" t="s">
        <v>279</v>
      </c>
      <c r="R8" s="120" t="s">
        <v>248</v>
      </c>
      <c r="S8" s="120" t="s">
        <v>249</v>
      </c>
      <c r="T8" s="120" t="s">
        <v>250</v>
      </c>
      <c r="U8" s="120" t="s">
        <v>272</v>
      </c>
      <c r="V8" s="137"/>
      <c r="W8" s="138"/>
    </row>
    <row r="9" spans="2:23" ht="45" x14ac:dyDescent="0.25">
      <c r="B9" s="128" t="s">
        <v>92</v>
      </c>
      <c r="C9" s="128" t="s">
        <v>100</v>
      </c>
      <c r="D9" s="128" t="s">
        <v>294</v>
      </c>
      <c r="E9" s="128" t="s">
        <v>235</v>
      </c>
      <c r="F9" s="128" t="s">
        <v>236</v>
      </c>
      <c r="G9" s="128" t="s">
        <v>252</v>
      </c>
      <c r="H9" s="128" t="s">
        <v>253</v>
      </c>
      <c r="I9" s="128" t="s">
        <v>254</v>
      </c>
      <c r="J9" s="128" t="s">
        <v>268</v>
      </c>
      <c r="K9" s="128" t="s">
        <v>255</v>
      </c>
      <c r="L9" s="128" t="s">
        <v>265</v>
      </c>
      <c r="M9" s="128" t="s">
        <v>256</v>
      </c>
      <c r="N9" s="128" t="s">
        <v>267</v>
      </c>
      <c r="O9" s="128" t="s">
        <v>269</v>
      </c>
      <c r="P9" s="128" t="s">
        <v>270</v>
      </c>
      <c r="Q9" s="128" t="s">
        <v>277</v>
      </c>
      <c r="R9" s="128" t="s">
        <v>257</v>
      </c>
      <c r="S9" s="128" t="s">
        <v>258</v>
      </c>
      <c r="T9" s="128" t="s">
        <v>278</v>
      </c>
      <c r="U9" s="128" t="s">
        <v>273</v>
      </c>
      <c r="V9" s="128" t="s">
        <v>274</v>
      </c>
      <c r="W9" s="128" t="s">
        <v>275</v>
      </c>
    </row>
    <row r="10" spans="2:23" ht="15.95" customHeight="1" x14ac:dyDescent="0.25">
      <c r="B10" s="4">
        <v>1</v>
      </c>
      <c r="C10" s="4" t="s">
        <v>195</v>
      </c>
      <c r="D10" s="4" t="s">
        <v>111</v>
      </c>
      <c r="E10" s="4" t="s">
        <v>171</v>
      </c>
      <c r="F10" s="4">
        <v>5.6</v>
      </c>
      <c r="G10" s="4"/>
      <c r="H10" s="4">
        <v>26</v>
      </c>
      <c r="I10" s="4"/>
      <c r="J10" s="130">
        <f>(F10+G10)*1715000</f>
        <v>9604000</v>
      </c>
      <c r="K10" s="4"/>
      <c r="L10" s="130">
        <f>H10*35000</f>
        <v>910000</v>
      </c>
      <c r="M10" s="4">
        <v>1</v>
      </c>
      <c r="N10" s="132">
        <f>H10*J10*M10/26</f>
        <v>9604000</v>
      </c>
      <c r="O10" s="4">
        <f>F10*I10*1715000/22</f>
        <v>0</v>
      </c>
      <c r="P10" s="132">
        <f>H10*J10/26+L10+N10+O10</f>
        <v>20118000</v>
      </c>
      <c r="Q10" s="130">
        <f>(F10+G10)*1715000*10.5%</f>
        <v>1008420</v>
      </c>
      <c r="R10" s="4"/>
      <c r="S10" s="4"/>
      <c r="T10" s="130">
        <f>(F10+G10)*1715000*1%</f>
        <v>96040</v>
      </c>
      <c r="U10" s="132">
        <f>SUM(Q10:T10)</f>
        <v>1104460</v>
      </c>
      <c r="V10" s="132">
        <f>P10-U10</f>
        <v>19013540</v>
      </c>
      <c r="W10" s="4"/>
    </row>
    <row r="11" spans="2:23" ht="15.95" customHeight="1" x14ac:dyDescent="0.25">
      <c r="B11" s="4">
        <v>2</v>
      </c>
      <c r="C11" s="4" t="s">
        <v>196</v>
      </c>
      <c r="D11" s="4" t="s">
        <v>112</v>
      </c>
      <c r="E11" s="4" t="s">
        <v>172</v>
      </c>
      <c r="F11" s="4">
        <v>4.3</v>
      </c>
      <c r="G11" s="4"/>
      <c r="H11" s="4">
        <v>26</v>
      </c>
      <c r="I11" s="4"/>
      <c r="J11" s="130">
        <f t="shared" ref="J11:J41" si="0">(F11+G11)*1715000</f>
        <v>7374500</v>
      </c>
      <c r="K11" s="4"/>
      <c r="L11" s="130">
        <f t="shared" ref="L11:L41" si="1">H11*35000</f>
        <v>910000</v>
      </c>
      <c r="M11" s="4">
        <v>1</v>
      </c>
      <c r="N11" s="132">
        <f t="shared" ref="N11:N41" si="2">H11*J11*M11/26</f>
        <v>7374500</v>
      </c>
      <c r="O11" s="4">
        <f t="shared" ref="O11:O41" si="3">F11*I11*1715000/22</f>
        <v>0</v>
      </c>
      <c r="P11" s="132">
        <f t="shared" ref="P11:P41" si="4">H11*J11/26+L11+N11+O11</f>
        <v>15659000</v>
      </c>
      <c r="Q11" s="130">
        <f t="shared" ref="Q11:Q41" si="5">(F11+G11)*1715000*10.5%</f>
        <v>774322.5</v>
      </c>
      <c r="R11" s="4"/>
      <c r="S11" s="4"/>
      <c r="T11" s="130">
        <f t="shared" ref="T11:T41" si="6">(F11+G11)*1715000*1%</f>
        <v>73745</v>
      </c>
      <c r="U11" s="132">
        <f t="shared" ref="U11:U41" si="7">SUM(Q11:T11)</f>
        <v>848067.5</v>
      </c>
      <c r="V11" s="132">
        <f t="shared" ref="V11:V41" si="8">P11-U11</f>
        <v>14810932.5</v>
      </c>
      <c r="W11" s="4"/>
    </row>
    <row r="12" spans="2:23" ht="15.95" customHeight="1" x14ac:dyDescent="0.25">
      <c r="B12" s="4">
        <v>3</v>
      </c>
      <c r="C12" s="4" t="s">
        <v>197</v>
      </c>
      <c r="D12" s="4" t="s">
        <v>113</v>
      </c>
      <c r="E12" s="4" t="s">
        <v>172</v>
      </c>
      <c r="F12" s="4">
        <v>4.2</v>
      </c>
      <c r="G12" s="4"/>
      <c r="H12" s="4">
        <v>26</v>
      </c>
      <c r="I12" s="4"/>
      <c r="J12" s="130">
        <f t="shared" si="0"/>
        <v>7203000</v>
      </c>
      <c r="K12" s="4"/>
      <c r="L12" s="130">
        <f t="shared" si="1"/>
        <v>910000</v>
      </c>
      <c r="M12" s="4">
        <v>1</v>
      </c>
      <c r="N12" s="132">
        <f t="shared" si="2"/>
        <v>7203000</v>
      </c>
      <c r="O12" s="4">
        <f t="shared" si="3"/>
        <v>0</v>
      </c>
      <c r="P12" s="132">
        <f t="shared" si="4"/>
        <v>15316000</v>
      </c>
      <c r="Q12" s="130">
        <f t="shared" si="5"/>
        <v>756315</v>
      </c>
      <c r="R12" s="4"/>
      <c r="S12" s="4"/>
      <c r="T12" s="130">
        <f t="shared" si="6"/>
        <v>72030</v>
      </c>
      <c r="U12" s="132">
        <f t="shared" si="7"/>
        <v>828345</v>
      </c>
      <c r="V12" s="132">
        <f t="shared" si="8"/>
        <v>14487655</v>
      </c>
      <c r="W12" s="4"/>
    </row>
    <row r="13" spans="2:23" ht="15.95" customHeight="1" x14ac:dyDescent="0.25">
      <c r="B13" s="4">
        <v>4</v>
      </c>
      <c r="C13" s="4" t="s">
        <v>198</v>
      </c>
      <c r="D13" s="4" t="s">
        <v>119</v>
      </c>
      <c r="E13" s="4" t="s">
        <v>170</v>
      </c>
      <c r="F13" s="4">
        <v>3.8</v>
      </c>
      <c r="G13" s="4"/>
      <c r="H13" s="4">
        <v>26</v>
      </c>
      <c r="I13" s="4"/>
      <c r="J13" s="130">
        <f t="shared" si="0"/>
        <v>6517000</v>
      </c>
      <c r="K13" s="4"/>
      <c r="L13" s="130">
        <f t="shared" si="1"/>
        <v>910000</v>
      </c>
      <c r="M13" s="4">
        <v>1</v>
      </c>
      <c r="N13" s="132">
        <f t="shared" si="2"/>
        <v>6517000</v>
      </c>
      <c r="O13" s="4">
        <f t="shared" si="3"/>
        <v>0</v>
      </c>
      <c r="P13" s="132">
        <f t="shared" si="4"/>
        <v>13944000</v>
      </c>
      <c r="Q13" s="130">
        <f t="shared" si="5"/>
        <v>684285</v>
      </c>
      <c r="R13" s="4"/>
      <c r="S13" s="4"/>
      <c r="T13" s="130">
        <f t="shared" si="6"/>
        <v>65170</v>
      </c>
      <c r="U13" s="132">
        <f t="shared" si="7"/>
        <v>749455</v>
      </c>
      <c r="V13" s="132">
        <f t="shared" si="8"/>
        <v>13194545</v>
      </c>
      <c r="W13" s="4"/>
    </row>
    <row r="14" spans="2:23" ht="15.95" customHeight="1" x14ac:dyDescent="0.25">
      <c r="B14" s="4">
        <v>5</v>
      </c>
      <c r="C14" s="4" t="s">
        <v>199</v>
      </c>
      <c r="D14" s="4" t="s">
        <v>120</v>
      </c>
      <c r="E14" s="4" t="s">
        <v>169</v>
      </c>
      <c r="F14" s="4">
        <v>3.6</v>
      </c>
      <c r="G14" s="4"/>
      <c r="H14" s="4">
        <v>26</v>
      </c>
      <c r="I14" s="4"/>
      <c r="J14" s="130">
        <f t="shared" si="0"/>
        <v>6174000</v>
      </c>
      <c r="K14" s="4"/>
      <c r="L14" s="130">
        <f t="shared" si="1"/>
        <v>910000</v>
      </c>
      <c r="M14" s="4">
        <v>1</v>
      </c>
      <c r="N14" s="132">
        <f t="shared" si="2"/>
        <v>6174000</v>
      </c>
      <c r="O14" s="4">
        <f t="shared" si="3"/>
        <v>0</v>
      </c>
      <c r="P14" s="132">
        <f t="shared" si="4"/>
        <v>13258000</v>
      </c>
      <c r="Q14" s="130">
        <f t="shared" si="5"/>
        <v>648270</v>
      </c>
      <c r="R14" s="4"/>
      <c r="S14" s="4"/>
      <c r="T14" s="130">
        <f t="shared" si="6"/>
        <v>61740</v>
      </c>
      <c r="U14" s="132">
        <f t="shared" si="7"/>
        <v>710010</v>
      </c>
      <c r="V14" s="132">
        <f t="shared" si="8"/>
        <v>12547990</v>
      </c>
      <c r="W14" s="4"/>
    </row>
    <row r="15" spans="2:23" ht="15.95" customHeight="1" x14ac:dyDescent="0.25">
      <c r="B15" s="4">
        <v>6</v>
      </c>
      <c r="C15" s="4" t="s">
        <v>200</v>
      </c>
      <c r="D15" s="4" t="s">
        <v>121</v>
      </c>
      <c r="E15" s="4" t="s">
        <v>150</v>
      </c>
      <c r="F15" s="4">
        <v>2.6</v>
      </c>
      <c r="G15" s="4"/>
      <c r="H15" s="4">
        <v>26</v>
      </c>
      <c r="I15" s="4"/>
      <c r="J15" s="130">
        <f t="shared" si="0"/>
        <v>4459000</v>
      </c>
      <c r="K15" s="4"/>
      <c r="L15" s="130">
        <f t="shared" si="1"/>
        <v>910000</v>
      </c>
      <c r="M15" s="4">
        <v>1</v>
      </c>
      <c r="N15" s="132">
        <f t="shared" si="2"/>
        <v>4459000</v>
      </c>
      <c r="O15" s="4">
        <f t="shared" si="3"/>
        <v>0</v>
      </c>
      <c r="P15" s="132">
        <f t="shared" si="4"/>
        <v>9828000</v>
      </c>
      <c r="Q15" s="130">
        <f t="shared" si="5"/>
        <v>468195</v>
      </c>
      <c r="R15" s="4"/>
      <c r="S15" s="4"/>
      <c r="T15" s="130">
        <f t="shared" si="6"/>
        <v>44590</v>
      </c>
      <c r="U15" s="132">
        <f t="shared" si="7"/>
        <v>512785</v>
      </c>
      <c r="V15" s="132">
        <f t="shared" si="8"/>
        <v>9315215</v>
      </c>
      <c r="W15" s="4"/>
    </row>
    <row r="16" spans="2:23" ht="15.95" customHeight="1" x14ac:dyDescent="0.25">
      <c r="B16" s="4">
        <v>7</v>
      </c>
      <c r="C16" s="4" t="s">
        <v>201</v>
      </c>
      <c r="D16" s="4" t="s">
        <v>122</v>
      </c>
      <c r="E16" s="4" t="s">
        <v>150</v>
      </c>
      <c r="F16" s="4">
        <v>2.6</v>
      </c>
      <c r="G16" s="4"/>
      <c r="H16" s="4">
        <v>26</v>
      </c>
      <c r="I16" s="4"/>
      <c r="J16" s="130">
        <f t="shared" si="0"/>
        <v>4459000</v>
      </c>
      <c r="K16" s="4"/>
      <c r="L16" s="130">
        <f t="shared" si="1"/>
        <v>910000</v>
      </c>
      <c r="M16" s="4">
        <v>1</v>
      </c>
      <c r="N16" s="132">
        <f t="shared" si="2"/>
        <v>4459000</v>
      </c>
      <c r="O16" s="4">
        <f t="shared" si="3"/>
        <v>0</v>
      </c>
      <c r="P16" s="132">
        <f t="shared" si="4"/>
        <v>9828000</v>
      </c>
      <c r="Q16" s="130">
        <f t="shared" si="5"/>
        <v>468195</v>
      </c>
      <c r="R16" s="4"/>
      <c r="S16" s="4"/>
      <c r="T16" s="130">
        <f t="shared" si="6"/>
        <v>44590</v>
      </c>
      <c r="U16" s="132">
        <f t="shared" si="7"/>
        <v>512785</v>
      </c>
      <c r="V16" s="132">
        <f t="shared" si="8"/>
        <v>9315215</v>
      </c>
      <c r="W16" s="4"/>
    </row>
    <row r="17" spans="2:23" ht="15.95" customHeight="1" x14ac:dyDescent="0.25">
      <c r="B17" s="4">
        <v>8</v>
      </c>
      <c r="C17" s="4" t="s">
        <v>202</v>
      </c>
      <c r="D17" s="4" t="s">
        <v>123</v>
      </c>
      <c r="E17" s="4" t="s">
        <v>151</v>
      </c>
      <c r="F17" s="4">
        <v>2.34</v>
      </c>
      <c r="G17" s="4"/>
      <c r="H17" s="4">
        <v>26</v>
      </c>
      <c r="I17" s="4"/>
      <c r="J17" s="130">
        <f t="shared" si="0"/>
        <v>4013099.9999999995</v>
      </c>
      <c r="K17" s="4"/>
      <c r="L17" s="130">
        <f t="shared" si="1"/>
        <v>910000</v>
      </c>
      <c r="M17" s="4">
        <v>1</v>
      </c>
      <c r="N17" s="132">
        <f t="shared" si="2"/>
        <v>4013099.9999999995</v>
      </c>
      <c r="O17" s="4">
        <f t="shared" si="3"/>
        <v>0</v>
      </c>
      <c r="P17" s="132">
        <f t="shared" si="4"/>
        <v>8936200</v>
      </c>
      <c r="Q17" s="130">
        <f t="shared" si="5"/>
        <v>421375.49999999994</v>
      </c>
      <c r="R17" s="4"/>
      <c r="S17" s="4"/>
      <c r="T17" s="130">
        <f t="shared" si="6"/>
        <v>40130.999999999993</v>
      </c>
      <c r="U17" s="132">
        <f t="shared" si="7"/>
        <v>461506.49999999994</v>
      </c>
      <c r="V17" s="132">
        <f t="shared" si="8"/>
        <v>8474693.5</v>
      </c>
      <c r="W17" s="4"/>
    </row>
    <row r="18" spans="2:23" ht="15.95" customHeight="1" x14ac:dyDescent="0.25">
      <c r="B18" s="4">
        <v>9</v>
      </c>
      <c r="C18" s="4" t="s">
        <v>203</v>
      </c>
      <c r="D18" s="4" t="s">
        <v>124</v>
      </c>
      <c r="E18" s="4" t="s">
        <v>151</v>
      </c>
      <c r="F18" s="4">
        <v>2.34</v>
      </c>
      <c r="G18" s="4"/>
      <c r="H18" s="4">
        <v>26</v>
      </c>
      <c r="I18" s="4"/>
      <c r="J18" s="130">
        <f t="shared" si="0"/>
        <v>4013099.9999999995</v>
      </c>
      <c r="K18" s="4"/>
      <c r="L18" s="130">
        <f t="shared" si="1"/>
        <v>910000</v>
      </c>
      <c r="M18" s="4">
        <v>1</v>
      </c>
      <c r="N18" s="132">
        <f t="shared" si="2"/>
        <v>4013099.9999999995</v>
      </c>
      <c r="O18" s="4">
        <f t="shared" si="3"/>
        <v>0</v>
      </c>
      <c r="P18" s="132">
        <f t="shared" si="4"/>
        <v>8936200</v>
      </c>
      <c r="Q18" s="130">
        <f t="shared" si="5"/>
        <v>421375.49999999994</v>
      </c>
      <c r="R18" s="4"/>
      <c r="S18" s="4"/>
      <c r="T18" s="130">
        <f t="shared" si="6"/>
        <v>40130.999999999993</v>
      </c>
      <c r="U18" s="132">
        <f t="shared" si="7"/>
        <v>461506.49999999994</v>
      </c>
      <c r="V18" s="132">
        <f t="shared" si="8"/>
        <v>8474693.5</v>
      </c>
      <c r="W18" s="4"/>
    </row>
    <row r="19" spans="2:23" ht="15.95" customHeight="1" x14ac:dyDescent="0.25">
      <c r="B19" s="4">
        <v>10</v>
      </c>
      <c r="C19" s="4" t="s">
        <v>204</v>
      </c>
      <c r="D19" s="4" t="s">
        <v>125</v>
      </c>
      <c r="E19" s="4" t="s">
        <v>151</v>
      </c>
      <c r="F19" s="4">
        <v>2.34</v>
      </c>
      <c r="G19" s="4"/>
      <c r="H19" s="4">
        <v>26</v>
      </c>
      <c r="I19" s="4"/>
      <c r="J19" s="130">
        <f t="shared" si="0"/>
        <v>4013099.9999999995</v>
      </c>
      <c r="K19" s="4"/>
      <c r="L19" s="130">
        <f t="shared" si="1"/>
        <v>910000</v>
      </c>
      <c r="M19" s="4">
        <v>1</v>
      </c>
      <c r="N19" s="132">
        <f t="shared" si="2"/>
        <v>4013099.9999999995</v>
      </c>
      <c r="O19" s="4">
        <f t="shared" si="3"/>
        <v>0</v>
      </c>
      <c r="P19" s="132">
        <f t="shared" si="4"/>
        <v>8936200</v>
      </c>
      <c r="Q19" s="130">
        <f t="shared" si="5"/>
        <v>421375.49999999994</v>
      </c>
      <c r="R19" s="4"/>
      <c r="S19" s="4"/>
      <c r="T19" s="130">
        <f t="shared" si="6"/>
        <v>40130.999999999993</v>
      </c>
      <c r="U19" s="132">
        <f t="shared" si="7"/>
        <v>461506.49999999994</v>
      </c>
      <c r="V19" s="132">
        <f t="shared" si="8"/>
        <v>8474693.5</v>
      </c>
      <c r="W19" s="4"/>
    </row>
    <row r="20" spans="2:23" ht="15.95" customHeight="1" x14ac:dyDescent="0.25">
      <c r="B20" s="4">
        <v>11</v>
      </c>
      <c r="C20" s="4" t="s">
        <v>205</v>
      </c>
      <c r="D20" s="4" t="s">
        <v>281</v>
      </c>
      <c r="E20" s="4" t="s">
        <v>152</v>
      </c>
      <c r="F20" s="4">
        <v>2.2999999999999998</v>
      </c>
      <c r="G20" s="4"/>
      <c r="H20" s="4">
        <v>26</v>
      </c>
      <c r="I20" s="4"/>
      <c r="J20" s="130">
        <f t="shared" si="0"/>
        <v>3944499.9999999995</v>
      </c>
      <c r="K20" s="4"/>
      <c r="L20" s="130">
        <f t="shared" si="1"/>
        <v>910000</v>
      </c>
      <c r="M20" s="4">
        <v>1</v>
      </c>
      <c r="N20" s="132">
        <f t="shared" si="2"/>
        <v>3944499.9999999995</v>
      </c>
      <c r="O20" s="4">
        <f t="shared" si="3"/>
        <v>0</v>
      </c>
      <c r="P20" s="132">
        <f t="shared" si="4"/>
        <v>8799000</v>
      </c>
      <c r="Q20" s="130">
        <f t="shared" si="5"/>
        <v>414172.49999999994</v>
      </c>
      <c r="R20" s="4"/>
      <c r="S20" s="4"/>
      <c r="T20" s="130">
        <f t="shared" si="6"/>
        <v>39444.999999999993</v>
      </c>
      <c r="U20" s="132">
        <f t="shared" si="7"/>
        <v>453617.49999999994</v>
      </c>
      <c r="V20" s="132">
        <f t="shared" si="8"/>
        <v>8345382.5</v>
      </c>
      <c r="W20" s="4"/>
    </row>
    <row r="21" spans="2:23" ht="15.95" customHeight="1" x14ac:dyDescent="0.25">
      <c r="B21" s="4">
        <v>12</v>
      </c>
      <c r="C21" s="4" t="s">
        <v>206</v>
      </c>
      <c r="D21" s="4" t="s">
        <v>282</v>
      </c>
      <c r="E21" s="4" t="s">
        <v>153</v>
      </c>
      <c r="F21" s="4">
        <v>2.2000000000000002</v>
      </c>
      <c r="G21" s="4"/>
      <c r="H21" s="4">
        <v>26</v>
      </c>
      <c r="I21" s="4"/>
      <c r="J21" s="130">
        <f t="shared" si="0"/>
        <v>3773000.0000000005</v>
      </c>
      <c r="K21" s="4"/>
      <c r="L21" s="130">
        <f t="shared" si="1"/>
        <v>910000</v>
      </c>
      <c r="M21" s="4">
        <v>1</v>
      </c>
      <c r="N21" s="132">
        <f t="shared" si="2"/>
        <v>3773000.0000000005</v>
      </c>
      <c r="O21" s="4">
        <f t="shared" si="3"/>
        <v>0</v>
      </c>
      <c r="P21" s="132">
        <f t="shared" si="4"/>
        <v>8456000</v>
      </c>
      <c r="Q21" s="130">
        <f t="shared" si="5"/>
        <v>396165.00000000006</v>
      </c>
      <c r="R21" s="4"/>
      <c r="S21" s="4"/>
      <c r="T21" s="130">
        <f t="shared" si="6"/>
        <v>37730.000000000007</v>
      </c>
      <c r="U21" s="132">
        <f t="shared" si="7"/>
        <v>433895.00000000006</v>
      </c>
      <c r="V21" s="132">
        <f t="shared" si="8"/>
        <v>8022105</v>
      </c>
      <c r="W21" s="4"/>
    </row>
    <row r="22" spans="2:23" ht="15.95" customHeight="1" x14ac:dyDescent="0.25">
      <c r="B22" s="4">
        <v>13</v>
      </c>
      <c r="C22" s="4" t="s">
        <v>207</v>
      </c>
      <c r="D22" s="4" t="s">
        <v>131</v>
      </c>
      <c r="E22" s="4" t="s">
        <v>170</v>
      </c>
      <c r="F22" s="4">
        <v>3.8</v>
      </c>
      <c r="G22" s="4"/>
      <c r="H22" s="4">
        <v>26</v>
      </c>
      <c r="I22" s="4"/>
      <c r="J22" s="130">
        <f t="shared" si="0"/>
        <v>6517000</v>
      </c>
      <c r="K22" s="4"/>
      <c r="L22" s="130">
        <f t="shared" si="1"/>
        <v>910000</v>
      </c>
      <c r="M22" s="4">
        <v>1</v>
      </c>
      <c r="N22" s="132">
        <f t="shared" si="2"/>
        <v>6517000</v>
      </c>
      <c r="O22" s="4">
        <f t="shared" si="3"/>
        <v>0</v>
      </c>
      <c r="P22" s="132">
        <f t="shared" si="4"/>
        <v>13944000</v>
      </c>
      <c r="Q22" s="130">
        <f t="shared" si="5"/>
        <v>684285</v>
      </c>
      <c r="R22" s="4"/>
      <c r="S22" s="4"/>
      <c r="T22" s="130">
        <f t="shared" si="6"/>
        <v>65170</v>
      </c>
      <c r="U22" s="132">
        <f t="shared" si="7"/>
        <v>749455</v>
      </c>
      <c r="V22" s="132">
        <f t="shared" si="8"/>
        <v>13194545</v>
      </c>
      <c r="W22" s="4"/>
    </row>
    <row r="23" spans="2:23" ht="15.95" customHeight="1" x14ac:dyDescent="0.25">
      <c r="B23" s="4">
        <v>14</v>
      </c>
      <c r="C23" s="4" t="s">
        <v>208</v>
      </c>
      <c r="D23" s="4" t="s">
        <v>136</v>
      </c>
      <c r="E23" s="4" t="s">
        <v>169</v>
      </c>
      <c r="F23" s="4">
        <v>3.6</v>
      </c>
      <c r="G23" s="4"/>
      <c r="H23" s="4">
        <v>26</v>
      </c>
      <c r="I23" s="4"/>
      <c r="J23" s="130">
        <f t="shared" si="0"/>
        <v>6174000</v>
      </c>
      <c r="K23" s="4"/>
      <c r="L23" s="130">
        <f t="shared" si="1"/>
        <v>910000</v>
      </c>
      <c r="M23" s="4">
        <v>1</v>
      </c>
      <c r="N23" s="132">
        <f t="shared" si="2"/>
        <v>6174000</v>
      </c>
      <c r="O23" s="4">
        <f t="shared" si="3"/>
        <v>0</v>
      </c>
      <c r="P23" s="132">
        <f t="shared" si="4"/>
        <v>13258000</v>
      </c>
      <c r="Q23" s="130">
        <f t="shared" si="5"/>
        <v>648270</v>
      </c>
      <c r="R23" s="4"/>
      <c r="S23" s="4"/>
      <c r="T23" s="130">
        <f t="shared" si="6"/>
        <v>61740</v>
      </c>
      <c r="U23" s="132">
        <f t="shared" si="7"/>
        <v>710010</v>
      </c>
      <c r="V23" s="132">
        <f t="shared" si="8"/>
        <v>12547990</v>
      </c>
      <c r="W23" s="4"/>
    </row>
    <row r="24" spans="2:23" ht="15.95" customHeight="1" x14ac:dyDescent="0.25">
      <c r="B24" s="4">
        <v>15</v>
      </c>
      <c r="C24" s="4" t="s">
        <v>209</v>
      </c>
      <c r="D24" s="4" t="s">
        <v>137</v>
      </c>
      <c r="E24" s="4" t="s">
        <v>169</v>
      </c>
      <c r="F24" s="4">
        <v>3.6</v>
      </c>
      <c r="G24" s="4"/>
      <c r="H24" s="4">
        <v>26</v>
      </c>
      <c r="I24" s="4"/>
      <c r="J24" s="130">
        <f t="shared" si="0"/>
        <v>6174000</v>
      </c>
      <c r="K24" s="4"/>
      <c r="L24" s="130">
        <f t="shared" si="1"/>
        <v>910000</v>
      </c>
      <c r="M24" s="4">
        <v>1</v>
      </c>
      <c r="N24" s="132">
        <f t="shared" si="2"/>
        <v>6174000</v>
      </c>
      <c r="O24" s="4">
        <f t="shared" si="3"/>
        <v>0</v>
      </c>
      <c r="P24" s="132">
        <f t="shared" si="4"/>
        <v>13258000</v>
      </c>
      <c r="Q24" s="130">
        <f t="shared" si="5"/>
        <v>648270</v>
      </c>
      <c r="R24" s="4"/>
      <c r="S24" s="4"/>
      <c r="T24" s="130">
        <f t="shared" si="6"/>
        <v>61740</v>
      </c>
      <c r="U24" s="132">
        <f t="shared" si="7"/>
        <v>710010</v>
      </c>
      <c r="V24" s="132">
        <f t="shared" si="8"/>
        <v>12547990</v>
      </c>
      <c r="W24" s="4"/>
    </row>
    <row r="25" spans="2:23" ht="15.95" customHeight="1" x14ac:dyDescent="0.25">
      <c r="B25" s="4">
        <v>16</v>
      </c>
      <c r="C25" s="4" t="s">
        <v>210</v>
      </c>
      <c r="D25" s="4" t="s">
        <v>138</v>
      </c>
      <c r="E25" s="4" t="s">
        <v>150</v>
      </c>
      <c r="F25" s="4">
        <v>3.2</v>
      </c>
      <c r="G25" s="4"/>
      <c r="H25" s="4">
        <v>26</v>
      </c>
      <c r="I25" s="4"/>
      <c r="J25" s="130">
        <f t="shared" si="0"/>
        <v>5488000</v>
      </c>
      <c r="K25" s="4"/>
      <c r="L25" s="130">
        <f t="shared" si="1"/>
        <v>910000</v>
      </c>
      <c r="M25" s="4">
        <v>1</v>
      </c>
      <c r="N25" s="132">
        <f t="shared" si="2"/>
        <v>5488000</v>
      </c>
      <c r="O25" s="4">
        <f t="shared" si="3"/>
        <v>0</v>
      </c>
      <c r="P25" s="132">
        <f t="shared" si="4"/>
        <v>11886000</v>
      </c>
      <c r="Q25" s="130">
        <f t="shared" si="5"/>
        <v>576240</v>
      </c>
      <c r="R25" s="4"/>
      <c r="S25" s="4"/>
      <c r="T25" s="130">
        <f t="shared" si="6"/>
        <v>54880</v>
      </c>
      <c r="U25" s="132">
        <f t="shared" si="7"/>
        <v>631120</v>
      </c>
      <c r="V25" s="132">
        <f t="shared" si="8"/>
        <v>11254880</v>
      </c>
      <c r="W25" s="4"/>
    </row>
    <row r="26" spans="2:23" ht="15.95" customHeight="1" x14ac:dyDescent="0.25">
      <c r="B26" s="4">
        <v>17</v>
      </c>
      <c r="C26" s="4" t="s">
        <v>211</v>
      </c>
      <c r="D26" s="4" t="s">
        <v>139</v>
      </c>
      <c r="E26" s="4" t="s">
        <v>150</v>
      </c>
      <c r="F26" s="4">
        <v>3.2</v>
      </c>
      <c r="G26" s="4"/>
      <c r="H26" s="4">
        <v>26</v>
      </c>
      <c r="I26" s="4"/>
      <c r="J26" s="130">
        <f t="shared" si="0"/>
        <v>5488000</v>
      </c>
      <c r="K26" s="4"/>
      <c r="L26" s="130">
        <f t="shared" si="1"/>
        <v>910000</v>
      </c>
      <c r="M26" s="4">
        <v>1</v>
      </c>
      <c r="N26" s="132">
        <f t="shared" si="2"/>
        <v>5488000</v>
      </c>
      <c r="O26" s="4">
        <f t="shared" si="3"/>
        <v>0</v>
      </c>
      <c r="P26" s="132">
        <f t="shared" si="4"/>
        <v>11886000</v>
      </c>
      <c r="Q26" s="130">
        <f t="shared" si="5"/>
        <v>576240</v>
      </c>
      <c r="R26" s="4"/>
      <c r="S26" s="4"/>
      <c r="T26" s="130">
        <f t="shared" si="6"/>
        <v>54880</v>
      </c>
      <c r="U26" s="132">
        <f t="shared" si="7"/>
        <v>631120</v>
      </c>
      <c r="V26" s="132">
        <f t="shared" si="8"/>
        <v>11254880</v>
      </c>
      <c r="W26" s="4"/>
    </row>
    <row r="27" spans="2:23" ht="15.95" customHeight="1" x14ac:dyDescent="0.25">
      <c r="B27" s="4">
        <v>18</v>
      </c>
      <c r="C27" s="4" t="s">
        <v>212</v>
      </c>
      <c r="D27" s="4" t="s">
        <v>140</v>
      </c>
      <c r="E27" s="4" t="s">
        <v>150</v>
      </c>
      <c r="F27" s="4">
        <v>3.2</v>
      </c>
      <c r="G27" s="4"/>
      <c r="H27" s="4">
        <v>26</v>
      </c>
      <c r="I27" s="4"/>
      <c r="J27" s="130">
        <f t="shared" si="0"/>
        <v>5488000</v>
      </c>
      <c r="K27" s="4"/>
      <c r="L27" s="130">
        <f t="shared" si="1"/>
        <v>910000</v>
      </c>
      <c r="M27" s="4">
        <v>1</v>
      </c>
      <c r="N27" s="132">
        <f t="shared" si="2"/>
        <v>5488000</v>
      </c>
      <c r="O27" s="4">
        <f t="shared" si="3"/>
        <v>0</v>
      </c>
      <c r="P27" s="132">
        <f t="shared" si="4"/>
        <v>11886000</v>
      </c>
      <c r="Q27" s="130">
        <f t="shared" si="5"/>
        <v>576240</v>
      </c>
      <c r="R27" s="4"/>
      <c r="S27" s="4"/>
      <c r="T27" s="130">
        <f t="shared" si="6"/>
        <v>54880</v>
      </c>
      <c r="U27" s="132">
        <f t="shared" si="7"/>
        <v>631120</v>
      </c>
      <c r="V27" s="132">
        <f t="shared" si="8"/>
        <v>11254880</v>
      </c>
      <c r="W27" s="4"/>
    </row>
    <row r="28" spans="2:23" ht="15.95" customHeight="1" x14ac:dyDescent="0.25">
      <c r="B28" s="4">
        <v>19</v>
      </c>
      <c r="C28" s="4" t="s">
        <v>213</v>
      </c>
      <c r="D28" s="4" t="s">
        <v>141</v>
      </c>
      <c r="E28" s="4" t="s">
        <v>151</v>
      </c>
      <c r="F28" s="4">
        <v>2.34</v>
      </c>
      <c r="G28" s="4"/>
      <c r="H28" s="4">
        <v>26</v>
      </c>
      <c r="I28" s="4"/>
      <c r="J28" s="130">
        <f t="shared" si="0"/>
        <v>4013099.9999999995</v>
      </c>
      <c r="K28" s="4"/>
      <c r="L28" s="130">
        <f t="shared" si="1"/>
        <v>910000</v>
      </c>
      <c r="M28" s="4">
        <v>1</v>
      </c>
      <c r="N28" s="132">
        <f t="shared" si="2"/>
        <v>4013099.9999999995</v>
      </c>
      <c r="O28" s="4">
        <f t="shared" si="3"/>
        <v>0</v>
      </c>
      <c r="P28" s="132">
        <f t="shared" si="4"/>
        <v>8936200</v>
      </c>
      <c r="Q28" s="130">
        <f t="shared" si="5"/>
        <v>421375.49999999994</v>
      </c>
      <c r="R28" s="4"/>
      <c r="S28" s="4"/>
      <c r="T28" s="130">
        <f t="shared" si="6"/>
        <v>40130.999999999993</v>
      </c>
      <c r="U28" s="132">
        <f t="shared" si="7"/>
        <v>461506.49999999994</v>
      </c>
      <c r="V28" s="132">
        <f t="shared" si="8"/>
        <v>8474693.5</v>
      </c>
      <c r="W28" s="4"/>
    </row>
    <row r="29" spans="2:23" ht="15.95" customHeight="1" x14ac:dyDescent="0.25">
      <c r="B29" s="4">
        <v>20</v>
      </c>
      <c r="C29" s="4" t="s">
        <v>214</v>
      </c>
      <c r="D29" s="4" t="s">
        <v>142</v>
      </c>
      <c r="E29" s="4" t="s">
        <v>151</v>
      </c>
      <c r="F29" s="4">
        <v>2.34</v>
      </c>
      <c r="G29" s="4"/>
      <c r="H29" s="4">
        <v>26</v>
      </c>
      <c r="I29" s="4"/>
      <c r="J29" s="130">
        <f t="shared" si="0"/>
        <v>4013099.9999999995</v>
      </c>
      <c r="K29" s="4"/>
      <c r="L29" s="130">
        <f t="shared" si="1"/>
        <v>910000</v>
      </c>
      <c r="M29" s="4">
        <v>1</v>
      </c>
      <c r="N29" s="132">
        <f t="shared" si="2"/>
        <v>4013099.9999999995</v>
      </c>
      <c r="O29" s="4">
        <f t="shared" si="3"/>
        <v>0</v>
      </c>
      <c r="P29" s="132">
        <f t="shared" si="4"/>
        <v>8936200</v>
      </c>
      <c r="Q29" s="130">
        <f t="shared" si="5"/>
        <v>421375.49999999994</v>
      </c>
      <c r="R29" s="4"/>
      <c r="S29" s="4"/>
      <c r="T29" s="130">
        <f t="shared" si="6"/>
        <v>40130.999999999993</v>
      </c>
      <c r="U29" s="132">
        <f t="shared" si="7"/>
        <v>461506.49999999994</v>
      </c>
      <c r="V29" s="132">
        <f t="shared" si="8"/>
        <v>8474693.5</v>
      </c>
      <c r="W29" s="4"/>
    </row>
    <row r="30" spans="2:23" ht="15.95" customHeight="1" x14ac:dyDescent="0.25">
      <c r="B30" s="4">
        <v>21</v>
      </c>
      <c r="C30" s="4" t="s">
        <v>215</v>
      </c>
      <c r="D30" s="4" t="s">
        <v>143</v>
      </c>
      <c r="E30" s="4" t="s">
        <v>151</v>
      </c>
      <c r="F30" s="4">
        <v>2.34</v>
      </c>
      <c r="G30" s="4"/>
      <c r="H30" s="4">
        <v>26</v>
      </c>
      <c r="I30" s="4"/>
      <c r="J30" s="130">
        <f t="shared" si="0"/>
        <v>4013099.9999999995</v>
      </c>
      <c r="K30" s="4"/>
      <c r="L30" s="130">
        <f t="shared" si="1"/>
        <v>910000</v>
      </c>
      <c r="M30" s="4">
        <v>1</v>
      </c>
      <c r="N30" s="132">
        <f t="shared" si="2"/>
        <v>4013099.9999999995</v>
      </c>
      <c r="O30" s="4">
        <f t="shared" si="3"/>
        <v>0</v>
      </c>
      <c r="P30" s="132">
        <f t="shared" si="4"/>
        <v>8936200</v>
      </c>
      <c r="Q30" s="130">
        <f t="shared" si="5"/>
        <v>421375.49999999994</v>
      </c>
      <c r="R30" s="4"/>
      <c r="S30" s="4"/>
      <c r="T30" s="130">
        <f t="shared" si="6"/>
        <v>40130.999999999993</v>
      </c>
      <c r="U30" s="132">
        <f t="shared" si="7"/>
        <v>461506.49999999994</v>
      </c>
      <c r="V30" s="132">
        <f t="shared" si="8"/>
        <v>8474693.5</v>
      </c>
      <c r="W30" s="4"/>
    </row>
    <row r="31" spans="2:23" ht="15.95" customHeight="1" x14ac:dyDescent="0.25">
      <c r="B31" s="4">
        <v>22</v>
      </c>
      <c r="C31" s="4" t="s">
        <v>216</v>
      </c>
      <c r="D31" s="4" t="s">
        <v>144</v>
      </c>
      <c r="E31" s="4" t="s">
        <v>152</v>
      </c>
      <c r="F31" s="4">
        <v>2.33</v>
      </c>
      <c r="G31" s="4"/>
      <c r="H31" s="4">
        <v>26</v>
      </c>
      <c r="I31" s="4"/>
      <c r="J31" s="130">
        <f t="shared" si="0"/>
        <v>3995950</v>
      </c>
      <c r="K31" s="4"/>
      <c r="L31" s="130">
        <f t="shared" si="1"/>
        <v>910000</v>
      </c>
      <c r="M31" s="4">
        <v>1</v>
      </c>
      <c r="N31" s="132">
        <f t="shared" si="2"/>
        <v>3995950</v>
      </c>
      <c r="O31" s="4">
        <f t="shared" si="3"/>
        <v>0</v>
      </c>
      <c r="P31" s="132">
        <f t="shared" si="4"/>
        <v>8901900</v>
      </c>
      <c r="Q31" s="130">
        <f t="shared" si="5"/>
        <v>419574.75</v>
      </c>
      <c r="R31" s="4"/>
      <c r="S31" s="4"/>
      <c r="T31" s="130">
        <f t="shared" si="6"/>
        <v>39959.5</v>
      </c>
      <c r="U31" s="132">
        <f t="shared" si="7"/>
        <v>459534.25</v>
      </c>
      <c r="V31" s="132">
        <f t="shared" si="8"/>
        <v>8442365.75</v>
      </c>
      <c r="W31" s="4"/>
    </row>
    <row r="32" spans="2:23" ht="15.95" customHeight="1" x14ac:dyDescent="0.25">
      <c r="B32" s="4">
        <v>23</v>
      </c>
      <c r="C32" s="4" t="s">
        <v>217</v>
      </c>
      <c r="D32" s="4" t="s">
        <v>132</v>
      </c>
      <c r="E32" s="4" t="s">
        <v>170</v>
      </c>
      <c r="F32" s="4">
        <v>3.8</v>
      </c>
      <c r="G32" s="4"/>
      <c r="H32" s="4">
        <v>26</v>
      </c>
      <c r="I32" s="4"/>
      <c r="J32" s="130">
        <f t="shared" si="0"/>
        <v>6517000</v>
      </c>
      <c r="K32" s="4"/>
      <c r="L32" s="130">
        <f t="shared" si="1"/>
        <v>910000</v>
      </c>
      <c r="M32" s="4">
        <v>1</v>
      </c>
      <c r="N32" s="132">
        <f t="shared" si="2"/>
        <v>6517000</v>
      </c>
      <c r="O32" s="4">
        <f t="shared" si="3"/>
        <v>0</v>
      </c>
      <c r="P32" s="132">
        <f t="shared" si="4"/>
        <v>13944000</v>
      </c>
      <c r="Q32" s="130">
        <f t="shared" si="5"/>
        <v>684285</v>
      </c>
      <c r="R32" s="4"/>
      <c r="S32" s="4"/>
      <c r="T32" s="130">
        <f t="shared" si="6"/>
        <v>65170</v>
      </c>
      <c r="U32" s="132">
        <f t="shared" si="7"/>
        <v>749455</v>
      </c>
      <c r="V32" s="132">
        <f t="shared" si="8"/>
        <v>13194545</v>
      </c>
      <c r="W32" s="4"/>
    </row>
    <row r="33" spans="2:23" ht="15.95" customHeight="1" x14ac:dyDescent="0.25">
      <c r="B33" s="4">
        <v>24</v>
      </c>
      <c r="C33" s="4" t="s">
        <v>218</v>
      </c>
      <c r="D33" s="4" t="s">
        <v>147</v>
      </c>
      <c r="E33" s="4" t="s">
        <v>169</v>
      </c>
      <c r="F33" s="4">
        <v>3.6</v>
      </c>
      <c r="G33" s="4"/>
      <c r="H33" s="4">
        <v>26</v>
      </c>
      <c r="I33" s="4"/>
      <c r="J33" s="130">
        <f t="shared" si="0"/>
        <v>6174000</v>
      </c>
      <c r="K33" s="4"/>
      <c r="L33" s="130">
        <f t="shared" si="1"/>
        <v>910000</v>
      </c>
      <c r="M33" s="4">
        <v>1</v>
      </c>
      <c r="N33" s="132">
        <f t="shared" si="2"/>
        <v>6174000</v>
      </c>
      <c r="O33" s="4">
        <f t="shared" si="3"/>
        <v>0</v>
      </c>
      <c r="P33" s="132">
        <f t="shared" si="4"/>
        <v>13258000</v>
      </c>
      <c r="Q33" s="130">
        <f t="shared" si="5"/>
        <v>648270</v>
      </c>
      <c r="R33" s="4"/>
      <c r="S33" s="4"/>
      <c r="T33" s="130">
        <f t="shared" si="6"/>
        <v>61740</v>
      </c>
      <c r="U33" s="132">
        <f t="shared" si="7"/>
        <v>710010</v>
      </c>
      <c r="V33" s="132">
        <f t="shared" si="8"/>
        <v>12547990</v>
      </c>
      <c r="W33" s="4"/>
    </row>
    <row r="34" spans="2:23" ht="15.95" customHeight="1" x14ac:dyDescent="0.25">
      <c r="B34" s="4">
        <v>25</v>
      </c>
      <c r="C34" s="4" t="s">
        <v>219</v>
      </c>
      <c r="D34" s="4" t="s">
        <v>148</v>
      </c>
      <c r="E34" s="4" t="s">
        <v>150</v>
      </c>
      <c r="F34" s="4">
        <v>3.2</v>
      </c>
      <c r="G34" s="4"/>
      <c r="H34" s="4">
        <v>26</v>
      </c>
      <c r="I34" s="4"/>
      <c r="J34" s="130">
        <f t="shared" si="0"/>
        <v>5488000</v>
      </c>
      <c r="K34" s="4"/>
      <c r="L34" s="130">
        <f t="shared" si="1"/>
        <v>910000</v>
      </c>
      <c r="M34" s="4">
        <v>1</v>
      </c>
      <c r="N34" s="132">
        <f t="shared" si="2"/>
        <v>5488000</v>
      </c>
      <c r="O34" s="4">
        <f t="shared" si="3"/>
        <v>0</v>
      </c>
      <c r="P34" s="132">
        <f t="shared" si="4"/>
        <v>11886000</v>
      </c>
      <c r="Q34" s="130">
        <f t="shared" si="5"/>
        <v>576240</v>
      </c>
      <c r="R34" s="4"/>
      <c r="S34" s="4"/>
      <c r="T34" s="130">
        <f t="shared" si="6"/>
        <v>54880</v>
      </c>
      <c r="U34" s="132">
        <f t="shared" si="7"/>
        <v>631120</v>
      </c>
      <c r="V34" s="132">
        <f t="shared" si="8"/>
        <v>11254880</v>
      </c>
      <c r="W34" s="4"/>
    </row>
    <row r="35" spans="2:23" ht="15.95" customHeight="1" x14ac:dyDescent="0.25">
      <c r="B35" s="4">
        <v>26</v>
      </c>
      <c r="C35" s="4" t="s">
        <v>220</v>
      </c>
      <c r="D35" s="4" t="s">
        <v>149</v>
      </c>
      <c r="E35" s="4" t="s">
        <v>151</v>
      </c>
      <c r="F35" s="4">
        <v>3</v>
      </c>
      <c r="G35" s="4"/>
      <c r="H35" s="4">
        <v>26</v>
      </c>
      <c r="I35" s="4"/>
      <c r="J35" s="130">
        <f t="shared" si="0"/>
        <v>5145000</v>
      </c>
      <c r="K35" s="4"/>
      <c r="L35" s="130">
        <f t="shared" si="1"/>
        <v>910000</v>
      </c>
      <c r="M35" s="4">
        <v>1</v>
      </c>
      <c r="N35" s="132">
        <f t="shared" si="2"/>
        <v>5145000</v>
      </c>
      <c r="O35" s="4">
        <f t="shared" si="3"/>
        <v>0</v>
      </c>
      <c r="P35" s="132">
        <f t="shared" si="4"/>
        <v>11200000</v>
      </c>
      <c r="Q35" s="130">
        <f t="shared" si="5"/>
        <v>540225</v>
      </c>
      <c r="R35" s="4"/>
      <c r="S35" s="4"/>
      <c r="T35" s="130">
        <f t="shared" si="6"/>
        <v>51450</v>
      </c>
      <c r="U35" s="132">
        <f t="shared" si="7"/>
        <v>591675</v>
      </c>
      <c r="V35" s="132">
        <f t="shared" si="8"/>
        <v>10608325</v>
      </c>
      <c r="W35" s="4"/>
    </row>
    <row r="36" spans="2:23" ht="15.95" customHeight="1" x14ac:dyDescent="0.25">
      <c r="B36" s="4">
        <v>27</v>
      </c>
      <c r="C36" s="4" t="s">
        <v>221</v>
      </c>
      <c r="D36" s="4" t="s">
        <v>158</v>
      </c>
      <c r="E36" s="4" t="s">
        <v>170</v>
      </c>
      <c r="F36" s="4">
        <v>3.8</v>
      </c>
      <c r="G36" s="4"/>
      <c r="H36" s="4">
        <v>26</v>
      </c>
      <c r="I36" s="4"/>
      <c r="J36" s="130">
        <f t="shared" si="0"/>
        <v>6517000</v>
      </c>
      <c r="K36" s="4"/>
      <c r="L36" s="130">
        <f t="shared" si="1"/>
        <v>910000</v>
      </c>
      <c r="M36" s="4">
        <v>1</v>
      </c>
      <c r="N36" s="132">
        <f t="shared" si="2"/>
        <v>6517000</v>
      </c>
      <c r="O36" s="4">
        <f t="shared" si="3"/>
        <v>0</v>
      </c>
      <c r="P36" s="132">
        <f t="shared" si="4"/>
        <v>13944000</v>
      </c>
      <c r="Q36" s="130">
        <f t="shared" si="5"/>
        <v>684285</v>
      </c>
      <c r="R36" s="4"/>
      <c r="S36" s="4"/>
      <c r="T36" s="130">
        <f t="shared" si="6"/>
        <v>65170</v>
      </c>
      <c r="U36" s="132">
        <f t="shared" si="7"/>
        <v>749455</v>
      </c>
      <c r="V36" s="132">
        <f t="shared" si="8"/>
        <v>13194545</v>
      </c>
      <c r="W36" s="4"/>
    </row>
    <row r="37" spans="2:23" ht="15.95" customHeight="1" x14ac:dyDescent="0.25">
      <c r="B37" s="4">
        <v>28</v>
      </c>
      <c r="C37" s="4" t="s">
        <v>222</v>
      </c>
      <c r="D37" s="4" t="s">
        <v>159</v>
      </c>
      <c r="E37" s="4" t="s">
        <v>169</v>
      </c>
      <c r="F37" s="4">
        <v>3.6</v>
      </c>
      <c r="G37" s="4"/>
      <c r="H37" s="4">
        <v>26</v>
      </c>
      <c r="I37" s="4"/>
      <c r="J37" s="130">
        <f t="shared" si="0"/>
        <v>6174000</v>
      </c>
      <c r="K37" s="4"/>
      <c r="L37" s="130">
        <f t="shared" si="1"/>
        <v>910000</v>
      </c>
      <c r="M37" s="4">
        <v>1</v>
      </c>
      <c r="N37" s="132">
        <f t="shared" si="2"/>
        <v>6174000</v>
      </c>
      <c r="O37" s="4">
        <f t="shared" si="3"/>
        <v>0</v>
      </c>
      <c r="P37" s="132">
        <f t="shared" si="4"/>
        <v>13258000</v>
      </c>
      <c r="Q37" s="130">
        <f t="shared" si="5"/>
        <v>648270</v>
      </c>
      <c r="R37" s="4"/>
      <c r="S37" s="4"/>
      <c r="T37" s="130">
        <f t="shared" si="6"/>
        <v>61740</v>
      </c>
      <c r="U37" s="132">
        <f t="shared" si="7"/>
        <v>710010</v>
      </c>
      <c r="V37" s="132">
        <f t="shared" si="8"/>
        <v>12547990</v>
      </c>
      <c r="W37" s="4"/>
    </row>
    <row r="38" spans="2:23" ht="15.95" customHeight="1" x14ac:dyDescent="0.25">
      <c r="B38" s="4">
        <v>29</v>
      </c>
      <c r="C38" s="4" t="s">
        <v>223</v>
      </c>
      <c r="D38" s="4" t="s">
        <v>160</v>
      </c>
      <c r="E38" s="4" t="s">
        <v>150</v>
      </c>
      <c r="F38" s="4">
        <v>2.36</v>
      </c>
      <c r="G38" s="4"/>
      <c r="H38" s="4">
        <v>26</v>
      </c>
      <c r="I38" s="4"/>
      <c r="J38" s="130">
        <f t="shared" si="0"/>
        <v>4047400</v>
      </c>
      <c r="K38" s="4"/>
      <c r="L38" s="130">
        <f t="shared" si="1"/>
        <v>910000</v>
      </c>
      <c r="M38" s="4">
        <v>1</v>
      </c>
      <c r="N38" s="132">
        <f t="shared" si="2"/>
        <v>4047400</v>
      </c>
      <c r="O38" s="4">
        <f t="shared" si="3"/>
        <v>0</v>
      </c>
      <c r="P38" s="132">
        <f t="shared" si="4"/>
        <v>9004800</v>
      </c>
      <c r="Q38" s="130">
        <f t="shared" si="5"/>
        <v>424977</v>
      </c>
      <c r="R38" s="4"/>
      <c r="S38" s="4"/>
      <c r="T38" s="130">
        <f t="shared" si="6"/>
        <v>40474</v>
      </c>
      <c r="U38" s="132">
        <f t="shared" si="7"/>
        <v>465451</v>
      </c>
      <c r="V38" s="132">
        <f t="shared" si="8"/>
        <v>8539349</v>
      </c>
      <c r="W38" s="4"/>
    </row>
    <row r="39" spans="2:23" ht="15.95" customHeight="1" x14ac:dyDescent="0.25">
      <c r="B39" s="4">
        <v>30</v>
      </c>
      <c r="C39" s="4" t="s">
        <v>224</v>
      </c>
      <c r="D39" s="4" t="s">
        <v>161</v>
      </c>
      <c r="E39" s="4" t="s">
        <v>151</v>
      </c>
      <c r="F39" s="4">
        <v>2.34</v>
      </c>
      <c r="G39" s="4"/>
      <c r="H39" s="4">
        <v>26</v>
      </c>
      <c r="I39" s="4"/>
      <c r="J39" s="130">
        <f t="shared" si="0"/>
        <v>4013099.9999999995</v>
      </c>
      <c r="K39" s="4"/>
      <c r="L39" s="130">
        <f t="shared" si="1"/>
        <v>910000</v>
      </c>
      <c r="M39" s="4">
        <v>1</v>
      </c>
      <c r="N39" s="132">
        <f t="shared" si="2"/>
        <v>4013099.9999999995</v>
      </c>
      <c r="O39" s="4">
        <f t="shared" si="3"/>
        <v>0</v>
      </c>
      <c r="P39" s="132">
        <f t="shared" si="4"/>
        <v>8936200</v>
      </c>
      <c r="Q39" s="130">
        <f t="shared" si="5"/>
        <v>421375.49999999994</v>
      </c>
      <c r="R39" s="4"/>
      <c r="S39" s="4"/>
      <c r="T39" s="130">
        <f t="shared" si="6"/>
        <v>40130.999999999993</v>
      </c>
      <c r="U39" s="132">
        <f t="shared" si="7"/>
        <v>461506.49999999994</v>
      </c>
      <c r="V39" s="132">
        <f t="shared" si="8"/>
        <v>8474693.5</v>
      </c>
      <c r="W39" s="4"/>
    </row>
    <row r="40" spans="2:23" ht="15.95" customHeight="1" x14ac:dyDescent="0.25">
      <c r="B40" s="4">
        <v>31</v>
      </c>
      <c r="C40" s="4" t="s">
        <v>225</v>
      </c>
      <c r="D40" s="4" t="s">
        <v>162</v>
      </c>
      <c r="E40" s="4" t="s">
        <v>151</v>
      </c>
      <c r="F40" s="4">
        <v>2.34</v>
      </c>
      <c r="G40" s="4"/>
      <c r="H40" s="4">
        <v>26</v>
      </c>
      <c r="I40" s="4"/>
      <c r="J40" s="130">
        <f t="shared" si="0"/>
        <v>4013099.9999999995</v>
      </c>
      <c r="K40" s="4"/>
      <c r="L40" s="130">
        <f t="shared" si="1"/>
        <v>910000</v>
      </c>
      <c r="M40" s="4">
        <v>1</v>
      </c>
      <c r="N40" s="132">
        <f t="shared" si="2"/>
        <v>4013099.9999999995</v>
      </c>
      <c r="O40" s="4">
        <f t="shared" si="3"/>
        <v>0</v>
      </c>
      <c r="P40" s="132">
        <f t="shared" si="4"/>
        <v>8936200</v>
      </c>
      <c r="Q40" s="130">
        <f t="shared" si="5"/>
        <v>421375.49999999994</v>
      </c>
      <c r="R40" s="4"/>
      <c r="S40" s="4"/>
      <c r="T40" s="130">
        <f t="shared" si="6"/>
        <v>40130.999999999993</v>
      </c>
      <c r="U40" s="132">
        <f t="shared" si="7"/>
        <v>461506.49999999994</v>
      </c>
      <c r="V40" s="132">
        <f t="shared" si="8"/>
        <v>8474693.5</v>
      </c>
      <c r="W40" s="4"/>
    </row>
    <row r="41" spans="2:23" ht="15.95" customHeight="1" x14ac:dyDescent="0.25">
      <c r="B41" s="4">
        <v>32</v>
      </c>
      <c r="C41" s="4" t="s">
        <v>226</v>
      </c>
      <c r="D41" s="4" t="s">
        <v>177</v>
      </c>
      <c r="E41" s="4" t="s">
        <v>151</v>
      </c>
      <c r="F41" s="4">
        <v>2.34</v>
      </c>
      <c r="G41" s="4"/>
      <c r="H41" s="4">
        <v>26</v>
      </c>
      <c r="I41" s="4"/>
      <c r="J41" s="130">
        <f t="shared" si="0"/>
        <v>4013099.9999999995</v>
      </c>
      <c r="K41" s="4"/>
      <c r="L41" s="130">
        <f t="shared" si="1"/>
        <v>910000</v>
      </c>
      <c r="M41" s="4">
        <v>1</v>
      </c>
      <c r="N41" s="132">
        <f t="shared" si="2"/>
        <v>4013099.9999999995</v>
      </c>
      <c r="O41" s="4">
        <f t="shared" si="3"/>
        <v>0</v>
      </c>
      <c r="P41" s="132">
        <f t="shared" si="4"/>
        <v>8936200</v>
      </c>
      <c r="Q41" s="130">
        <f t="shared" si="5"/>
        <v>421375.49999999994</v>
      </c>
      <c r="R41" s="4"/>
      <c r="S41" s="4"/>
      <c r="T41" s="130">
        <f t="shared" si="6"/>
        <v>40130.999999999993</v>
      </c>
      <c r="U41" s="132">
        <f t="shared" si="7"/>
        <v>461506.49999999994</v>
      </c>
      <c r="V41" s="132">
        <f t="shared" si="8"/>
        <v>8474693.5</v>
      </c>
      <c r="W41" s="4"/>
    </row>
    <row r="42" spans="2:23" ht="18" customHeight="1" x14ac:dyDescent="0.25">
      <c r="B42" s="4"/>
      <c r="C42" s="4"/>
      <c r="D42" s="10" t="s">
        <v>234</v>
      </c>
      <c r="E42" s="4"/>
      <c r="F42" s="4"/>
      <c r="G42" s="4"/>
      <c r="H42" s="4"/>
      <c r="I42" s="4"/>
      <c r="J42" s="131">
        <f>SUM(J10:J41)</f>
        <v>169013250</v>
      </c>
      <c r="K42" s="4"/>
      <c r="L42" s="131">
        <f>SUM(L10:L41)</f>
        <v>29120000</v>
      </c>
      <c r="M42" s="4"/>
      <c r="N42" s="131">
        <f>SUM(N10:N41)</f>
        <v>169013250</v>
      </c>
      <c r="O42" s="4"/>
      <c r="P42" s="131">
        <f>SUM(P10:P41)</f>
        <v>367146500</v>
      </c>
      <c r="Q42" s="131">
        <f>SUM(Q10:Q41)</f>
        <v>17746391.25</v>
      </c>
      <c r="R42" s="4"/>
      <c r="S42" s="4"/>
      <c r="T42" s="131">
        <f>SUM(T10:T41)</f>
        <v>1690132.5</v>
      </c>
      <c r="U42" s="131">
        <f t="shared" ref="U42:V42" si="9">SUM(U10:U41)</f>
        <v>19436523.75</v>
      </c>
      <c r="V42" s="131">
        <f t="shared" si="9"/>
        <v>347709976.25</v>
      </c>
      <c r="W42" s="4"/>
    </row>
  </sheetData>
  <mergeCells count="18">
    <mergeCell ref="I7:I8"/>
    <mergeCell ref="C7:C8"/>
    <mergeCell ref="H7:H8"/>
    <mergeCell ref="V7:V8"/>
    <mergeCell ref="W7:W8"/>
    <mergeCell ref="B7:B8"/>
    <mergeCell ref="N7:N8"/>
    <mergeCell ref="Q7:U7"/>
    <mergeCell ref="D7:D8"/>
    <mergeCell ref="E7:E8"/>
    <mergeCell ref="F7:F8"/>
    <mergeCell ref="G7:G8"/>
    <mergeCell ref="P7:P8"/>
    <mergeCell ref="O7:O8"/>
    <mergeCell ref="M7:M8"/>
    <mergeCell ref="L7:L8"/>
    <mergeCell ref="K7:K8"/>
    <mergeCell ref="J7:J8"/>
  </mergeCells>
  <phoneticPr fontId="4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0FBAA-15AD-4D59-9127-985B975D0171}">
  <sheetPr codeName="shPL">
    <tabColor rgb="FF7030A0"/>
  </sheetPr>
  <dimension ref="B3:W10"/>
  <sheetViews>
    <sheetView zoomScale="95" zoomScaleNormal="95" workbookViewId="0">
      <selection activeCell="K22" sqref="K22"/>
    </sheetView>
  </sheetViews>
  <sheetFormatPr defaultRowHeight="15" x14ac:dyDescent="0.25"/>
  <cols>
    <col min="1" max="1" width="2.42578125" style="1" customWidth="1"/>
    <col min="2" max="2" width="3.7109375" style="1" customWidth="1"/>
    <col min="3" max="3" width="10" style="1" customWidth="1"/>
    <col min="4" max="4" width="15.42578125" style="1" customWidth="1"/>
    <col min="5" max="5" width="12" style="1" customWidth="1"/>
    <col min="6" max="6" width="8.7109375" style="1" customWidth="1"/>
    <col min="7" max="7" width="11.5703125" style="1" customWidth="1"/>
    <col min="8" max="8" width="9.7109375" style="1" customWidth="1"/>
    <col min="9" max="9" width="10" style="1" customWidth="1"/>
    <col min="10" max="10" width="13.42578125" style="1" customWidth="1"/>
    <col min="11" max="11" width="12.7109375" style="1" customWidth="1"/>
    <col min="12" max="12" width="13.42578125" style="1" customWidth="1"/>
    <col min="13" max="13" width="7.85546875" style="1" customWidth="1"/>
    <col min="14" max="14" width="15.7109375" style="1" customWidth="1"/>
    <col min="15" max="15" width="13.42578125" style="1" customWidth="1"/>
    <col min="16" max="16" width="20" style="1" customWidth="1"/>
    <col min="17" max="17" width="13.42578125" style="1" customWidth="1"/>
    <col min="18" max="18" width="13.28515625" style="1" customWidth="1"/>
    <col min="19" max="19" width="11.85546875" style="1" customWidth="1"/>
    <col min="20" max="22" width="15" style="1" customWidth="1"/>
    <col min="23" max="23" width="8.140625" style="1" bestFit="1" customWidth="1"/>
    <col min="24" max="16384" width="9.140625" style="1"/>
  </cols>
  <sheetData>
    <row r="3" spans="2:23" ht="18.75" x14ac:dyDescent="0.25">
      <c r="B3" s="125" t="s">
        <v>227</v>
      </c>
      <c r="C3" s="125"/>
    </row>
    <row r="5" spans="2:23" ht="24" customHeight="1" x14ac:dyDescent="0.25">
      <c r="B5" s="126" t="str">
        <f ca="1">"BẢNG LƯƠNG CÁN BỘ CÔNG NHÂN VIÊN - THÁNG " &amp; MONTH(TODAY())</f>
        <v>BẢNG LƯƠNG CÁN BỘ CÔNG NHÂN VIÊN - THÁNG 11</v>
      </c>
      <c r="C5" s="126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P5" s="127"/>
      <c r="Q5" s="127"/>
      <c r="R5" s="127"/>
      <c r="S5" s="127"/>
      <c r="T5" s="127"/>
      <c r="U5" s="127"/>
      <c r="V5" s="127"/>
      <c r="W5" s="127"/>
    </row>
    <row r="6" spans="2:23" ht="9.75" customHeight="1" x14ac:dyDescent="0.25"/>
    <row r="7" spans="2:23" ht="22.5" customHeight="1" x14ac:dyDescent="0.25">
      <c r="B7" s="137" t="s">
        <v>237</v>
      </c>
      <c r="C7" s="142" t="s">
        <v>290</v>
      </c>
      <c r="D7" s="137" t="s">
        <v>21</v>
      </c>
      <c r="E7" s="137" t="s">
        <v>238</v>
      </c>
      <c r="F7" s="137" t="s">
        <v>239</v>
      </c>
      <c r="G7" s="137" t="s">
        <v>264</v>
      </c>
      <c r="H7" s="137" t="s">
        <v>240</v>
      </c>
      <c r="I7" s="137" t="s">
        <v>241</v>
      </c>
      <c r="J7" s="137" t="s">
        <v>242</v>
      </c>
      <c r="K7" s="137" t="s">
        <v>243</v>
      </c>
      <c r="L7" s="137" t="s">
        <v>244</v>
      </c>
      <c r="M7" s="137" t="s">
        <v>271</v>
      </c>
      <c r="N7" s="137" t="s">
        <v>266</v>
      </c>
      <c r="O7" s="137" t="s">
        <v>245</v>
      </c>
      <c r="P7" s="137" t="s">
        <v>246</v>
      </c>
      <c r="Q7" s="139" t="s">
        <v>247</v>
      </c>
      <c r="R7" s="140"/>
      <c r="S7" s="140"/>
      <c r="T7" s="140"/>
      <c r="U7" s="141"/>
      <c r="V7" s="137" t="s">
        <v>251</v>
      </c>
      <c r="W7" s="138" t="s">
        <v>6</v>
      </c>
    </row>
    <row r="8" spans="2:23" ht="32.25" customHeight="1" x14ac:dyDescent="0.25">
      <c r="B8" s="137"/>
      <c r="C8" s="143"/>
      <c r="D8" s="137"/>
      <c r="E8" s="137"/>
      <c r="F8" s="137"/>
      <c r="G8" s="137"/>
      <c r="H8" s="137"/>
      <c r="I8" s="137"/>
      <c r="J8" s="137"/>
      <c r="K8" s="137"/>
      <c r="L8" s="137"/>
      <c r="M8" s="137"/>
      <c r="N8" s="137"/>
      <c r="O8" s="137"/>
      <c r="P8" s="137"/>
      <c r="Q8" s="124" t="s">
        <v>276</v>
      </c>
      <c r="R8" s="120" t="s">
        <v>248</v>
      </c>
      <c r="S8" s="120" t="s">
        <v>249</v>
      </c>
      <c r="T8" s="120" t="s">
        <v>250</v>
      </c>
      <c r="U8" s="120" t="s">
        <v>272</v>
      </c>
      <c r="V8" s="137"/>
      <c r="W8" s="138"/>
    </row>
    <row r="9" spans="2:23" ht="45" x14ac:dyDescent="0.25">
      <c r="B9" s="128" t="s">
        <v>92</v>
      </c>
      <c r="C9" s="128" t="s">
        <v>100</v>
      </c>
      <c r="D9" s="128" t="s">
        <v>294</v>
      </c>
      <c r="E9" s="128" t="s">
        <v>235</v>
      </c>
      <c r="F9" s="128" t="s">
        <v>236</v>
      </c>
      <c r="G9" s="128" t="s">
        <v>252</v>
      </c>
      <c r="H9" s="128" t="s">
        <v>253</v>
      </c>
      <c r="I9" s="128" t="s">
        <v>254</v>
      </c>
      <c r="J9" s="128" t="s">
        <v>268</v>
      </c>
      <c r="K9" s="128" t="s">
        <v>255</v>
      </c>
      <c r="L9" s="128" t="s">
        <v>265</v>
      </c>
      <c r="M9" s="128" t="s">
        <v>256</v>
      </c>
      <c r="N9" s="128" t="s">
        <v>267</v>
      </c>
      <c r="O9" s="128" t="s">
        <v>269</v>
      </c>
      <c r="P9" s="128" t="s">
        <v>270</v>
      </c>
      <c r="Q9" s="128" t="s">
        <v>277</v>
      </c>
      <c r="R9" s="128" t="s">
        <v>257</v>
      </c>
      <c r="S9" s="128" t="s">
        <v>258</v>
      </c>
      <c r="T9" s="128" t="s">
        <v>278</v>
      </c>
      <c r="U9" s="128" t="s">
        <v>273</v>
      </c>
      <c r="V9" s="128" t="s">
        <v>274</v>
      </c>
      <c r="W9" s="128" t="s">
        <v>275</v>
      </c>
    </row>
    <row r="10" spans="2:23" ht="15.95" customHeight="1" x14ac:dyDescent="0.25">
      <c r="B10" s="4">
        <v>1</v>
      </c>
      <c r="C10" s="3" t="s">
        <v>226</v>
      </c>
      <c r="D10" s="3" t="s">
        <v>177</v>
      </c>
      <c r="E10" s="3" t="s">
        <v>151</v>
      </c>
      <c r="F10" s="3">
        <v>2.34</v>
      </c>
      <c r="G10" s="3"/>
      <c r="H10" s="3">
        <v>26</v>
      </c>
      <c r="I10" s="3"/>
      <c r="J10" s="135">
        <v>4013099.9999999995</v>
      </c>
      <c r="K10" s="135"/>
      <c r="L10" s="135">
        <v>910000</v>
      </c>
      <c r="M10" s="3">
        <v>1</v>
      </c>
      <c r="N10" s="135">
        <v>4013099.9999999995</v>
      </c>
      <c r="O10" s="3">
        <v>0</v>
      </c>
      <c r="P10" s="135">
        <v>8936200</v>
      </c>
      <c r="Q10" s="135">
        <v>421375.49999999994</v>
      </c>
      <c r="R10" s="135"/>
      <c r="S10" s="135"/>
      <c r="T10" s="135">
        <v>40130.999999999993</v>
      </c>
      <c r="U10" s="135">
        <v>461506.49999999994</v>
      </c>
      <c r="V10" s="135">
        <v>8474693.5</v>
      </c>
      <c r="W10" s="3"/>
    </row>
  </sheetData>
  <mergeCells count="18">
    <mergeCell ref="O7:O8"/>
    <mergeCell ref="P7:P8"/>
    <mergeCell ref="Q7:U7"/>
    <mergeCell ref="V7:V8"/>
    <mergeCell ref="W7:W8"/>
    <mergeCell ref="N7:N8"/>
    <mergeCell ref="B7:B8"/>
    <mergeCell ref="D7:D8"/>
    <mergeCell ref="E7:E8"/>
    <mergeCell ref="F7:F8"/>
    <mergeCell ref="G7:G8"/>
    <mergeCell ref="H7:H8"/>
    <mergeCell ref="I7:I8"/>
    <mergeCell ref="J7:J8"/>
    <mergeCell ref="K7:K8"/>
    <mergeCell ref="L7:L8"/>
    <mergeCell ref="M7:M8"/>
    <mergeCell ref="C7:C8"/>
  </mergeCells>
  <printOptions horizontalCentered="1"/>
  <pageMargins left="0.3" right="0.3" top="0.75" bottom="0.75" header="0.3" footer="0.3"/>
  <pageSetup paperSize="9" scale="5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C1B80-98A3-4136-A4EE-37AC09D10A5A}">
  <sheetPr codeName="ShMsgbox"/>
  <dimension ref="A1:BJ25"/>
  <sheetViews>
    <sheetView workbookViewId="0">
      <selection activeCell="F28" sqref="F28"/>
    </sheetView>
  </sheetViews>
  <sheetFormatPr defaultRowHeight="15" x14ac:dyDescent="0.25"/>
  <cols>
    <col min="1" max="1" width="6.5703125" style="34" customWidth="1"/>
    <col min="2" max="2" width="10.85546875" style="34" bestFit="1" customWidth="1"/>
    <col min="3" max="3" width="78.28515625" style="34" customWidth="1"/>
    <col min="4" max="58" width="9.140625" style="34"/>
    <col min="59" max="60" width="20.42578125" style="34" customWidth="1"/>
    <col min="61" max="61" width="24.85546875" style="34" customWidth="1"/>
    <col min="62" max="62" width="22.5703125" style="34" customWidth="1"/>
    <col min="63" max="16384" width="9.140625" style="34"/>
  </cols>
  <sheetData>
    <row r="1" spans="1:62" x14ac:dyDescent="0.25">
      <c r="A1" s="123"/>
    </row>
    <row r="3" spans="1:62" x14ac:dyDescent="0.25">
      <c r="BG3" s="37" t="s">
        <v>46</v>
      </c>
      <c r="BH3" s="37" t="s">
        <v>47</v>
      </c>
      <c r="BI3" s="37" t="s">
        <v>48</v>
      </c>
      <c r="BJ3" s="37" t="s">
        <v>49</v>
      </c>
    </row>
    <row r="4" spans="1:62" ht="39.75" customHeight="1" x14ac:dyDescent="0.25">
      <c r="B4" s="144" t="s">
        <v>50</v>
      </c>
      <c r="C4" s="144"/>
      <c r="BG4" s="34" t="s">
        <v>298</v>
      </c>
      <c r="BH4" s="34" t="s">
        <v>283</v>
      </c>
      <c r="BI4" s="38" t="s">
        <v>297</v>
      </c>
      <c r="BJ4" s="38"/>
    </row>
    <row r="5" spans="1:62" x14ac:dyDescent="0.25">
      <c r="BG5" s="34" t="s">
        <v>298</v>
      </c>
      <c r="BH5" s="34" t="s">
        <v>284</v>
      </c>
    </row>
    <row r="6" spans="1:62" x14ac:dyDescent="0.25">
      <c r="B6" s="33" t="s">
        <v>53</v>
      </c>
      <c r="C6" s="33" t="s">
        <v>54</v>
      </c>
      <c r="BG6" s="34" t="s">
        <v>298</v>
      </c>
      <c r="BH6" s="34" t="s">
        <v>285</v>
      </c>
    </row>
    <row r="7" spans="1:62" x14ac:dyDescent="0.25">
      <c r="B7" s="35" t="s">
        <v>51</v>
      </c>
      <c r="C7" s="35" t="s">
        <v>56</v>
      </c>
      <c r="BG7" s="34" t="s">
        <v>298</v>
      </c>
      <c r="BH7" s="34" t="s">
        <v>286</v>
      </c>
    </row>
    <row r="8" spans="1:62" x14ac:dyDescent="0.25">
      <c r="B8" s="35" t="s">
        <v>52</v>
      </c>
      <c r="C8" s="35" t="s">
        <v>55</v>
      </c>
      <c r="BG8" s="34" t="s">
        <v>298</v>
      </c>
      <c r="BH8" s="34" t="s">
        <v>287</v>
      </c>
    </row>
    <row r="9" spans="1:62" x14ac:dyDescent="0.25">
      <c r="B9" s="35"/>
      <c r="C9" s="35" t="s">
        <v>57</v>
      </c>
      <c r="BG9" s="34" t="s">
        <v>298</v>
      </c>
      <c r="BH9" s="34" t="s">
        <v>288</v>
      </c>
    </row>
    <row r="10" spans="1:62" x14ac:dyDescent="0.25">
      <c r="B10" s="35"/>
      <c r="C10" s="35" t="s">
        <v>58</v>
      </c>
      <c r="BG10" s="34" t="s">
        <v>298</v>
      </c>
      <c r="BH10" s="34" t="s">
        <v>289</v>
      </c>
    </row>
    <row r="11" spans="1:62" x14ac:dyDescent="0.25">
      <c r="B11" s="35"/>
      <c r="C11" s="35" t="s">
        <v>60</v>
      </c>
    </row>
    <row r="12" spans="1:62" x14ac:dyDescent="0.25">
      <c r="B12" s="35"/>
      <c r="C12" s="35" t="s">
        <v>59</v>
      </c>
    </row>
    <row r="13" spans="1:62" x14ac:dyDescent="0.25">
      <c r="B13" s="35"/>
      <c r="C13" s="35" t="s">
        <v>193</v>
      </c>
    </row>
    <row r="14" spans="1:62" ht="60" x14ac:dyDescent="0.25">
      <c r="B14" s="35"/>
      <c r="C14" s="122" t="s">
        <v>194</v>
      </c>
    </row>
    <row r="15" spans="1:62" x14ac:dyDescent="0.25">
      <c r="B15" s="35"/>
      <c r="C15" s="35" t="s">
        <v>280</v>
      </c>
    </row>
    <row r="16" spans="1:62" x14ac:dyDescent="0.25">
      <c r="B16" s="35"/>
      <c r="C16" s="35"/>
    </row>
    <row r="17" spans="2:3" x14ac:dyDescent="0.25">
      <c r="B17" s="35"/>
      <c r="C17" s="35"/>
    </row>
    <row r="18" spans="2:3" x14ac:dyDescent="0.25">
      <c r="B18" s="35"/>
      <c r="C18" s="35"/>
    </row>
    <row r="19" spans="2:3" x14ac:dyDescent="0.25">
      <c r="B19" s="35"/>
      <c r="C19" s="35"/>
    </row>
    <row r="20" spans="2:3" x14ac:dyDescent="0.25">
      <c r="B20" s="35"/>
      <c r="C20" s="35"/>
    </row>
    <row r="21" spans="2:3" x14ac:dyDescent="0.25">
      <c r="B21" s="35"/>
      <c r="C21" s="35"/>
    </row>
    <row r="22" spans="2:3" x14ac:dyDescent="0.25">
      <c r="B22" s="35"/>
      <c r="C22" s="35"/>
    </row>
    <row r="23" spans="2:3" x14ac:dyDescent="0.25">
      <c r="B23" s="35"/>
      <c r="C23" s="35"/>
    </row>
    <row r="24" spans="2:3" x14ac:dyDescent="0.25">
      <c r="B24" s="35"/>
      <c r="C24" s="35"/>
    </row>
    <row r="25" spans="2:3" x14ac:dyDescent="0.25">
      <c r="B25" s="35"/>
      <c r="C25" s="35"/>
    </row>
  </sheetData>
  <mergeCells count="1">
    <mergeCell ref="B4:C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FE7A-1DEA-4A75-B899-C9D6EDE4B62D}">
  <sheetPr codeName="Sheet2">
    <tabColor rgb="FFFFFF00"/>
  </sheetPr>
  <dimension ref="A1:IT443"/>
  <sheetViews>
    <sheetView zoomScaleNormal="100" workbookViewId="0">
      <selection activeCell="Q19" sqref="Q19"/>
    </sheetView>
  </sheetViews>
  <sheetFormatPr defaultColWidth="9" defaultRowHeight="15.75" x14ac:dyDescent="0.25"/>
  <cols>
    <col min="1" max="1" width="6.140625" style="74" customWidth="1"/>
    <col min="2" max="2" width="13.85546875" style="51" customWidth="1"/>
    <col min="3" max="3" width="6.28515625" style="75" customWidth="1"/>
    <col min="4" max="4" width="9.85546875" style="50" customWidth="1"/>
    <col min="5" max="5" width="9.140625" style="50" customWidth="1"/>
    <col min="6" max="6" width="9.28515625" style="50" customWidth="1"/>
    <col min="7" max="7" width="10.140625" style="50" customWidth="1"/>
    <col min="8" max="9" width="9.5703125" style="50" customWidth="1"/>
    <col min="10" max="10" width="6.5703125" style="76" customWidth="1"/>
    <col min="11" max="11" width="9.85546875" style="49" customWidth="1"/>
    <col min="12" max="12" width="9.42578125" style="50" customWidth="1"/>
    <col min="13" max="14" width="7.85546875" style="50" customWidth="1"/>
    <col min="15" max="15" width="7.85546875" style="49" customWidth="1"/>
    <col min="16" max="16" width="7.85546875" style="50" customWidth="1"/>
    <col min="17" max="17" width="9.5703125" style="50" customWidth="1"/>
    <col min="18" max="18" width="8.5703125" style="50" customWidth="1"/>
    <col min="19" max="19" width="8.5703125" style="49" customWidth="1"/>
    <col min="20" max="21" width="8.5703125" style="50" customWidth="1"/>
    <col min="22" max="22" width="8" style="50" customWidth="1"/>
    <col min="23" max="23" width="7.85546875" style="50" customWidth="1"/>
    <col min="24" max="24" width="12.140625" style="50" customWidth="1"/>
    <col min="25" max="25" width="9.28515625" style="51" bestFit="1" customWidth="1"/>
    <col min="26" max="255" width="9" style="51"/>
    <col min="256" max="256" width="6.140625" style="51" customWidth="1"/>
    <col min="257" max="257" width="13.85546875" style="51" customWidth="1"/>
    <col min="258" max="258" width="6.28515625" style="51" customWidth="1"/>
    <col min="259" max="259" width="9.85546875" style="51" customWidth="1"/>
    <col min="260" max="260" width="9.140625" style="51" customWidth="1"/>
    <col min="261" max="261" width="9.28515625" style="51" customWidth="1"/>
    <col min="262" max="262" width="10.140625" style="51" customWidth="1"/>
    <col min="263" max="264" width="9.5703125" style="51" customWidth="1"/>
    <col min="265" max="265" width="6.5703125" style="51" customWidth="1"/>
    <col min="266" max="266" width="9.85546875" style="51" customWidth="1"/>
    <col min="267" max="267" width="9.42578125" style="51" customWidth="1"/>
    <col min="268" max="271" width="7.85546875" style="51" customWidth="1"/>
    <col min="272" max="272" width="9.5703125" style="51" customWidth="1"/>
    <col min="273" max="276" width="8.5703125" style="51" customWidth="1"/>
    <col min="277" max="277" width="8" style="51" customWidth="1"/>
    <col min="278" max="278" width="7.85546875" style="51" customWidth="1"/>
    <col min="279" max="279" width="12.140625" style="51" customWidth="1"/>
    <col min="280" max="280" width="9.28515625" style="51" bestFit="1" customWidth="1"/>
    <col min="281" max="281" width="10" style="51" customWidth="1"/>
    <col min="282" max="511" width="9" style="51"/>
    <col min="512" max="512" width="6.140625" style="51" customWidth="1"/>
    <col min="513" max="513" width="13.85546875" style="51" customWidth="1"/>
    <col min="514" max="514" width="6.28515625" style="51" customWidth="1"/>
    <col min="515" max="515" width="9.85546875" style="51" customWidth="1"/>
    <col min="516" max="516" width="9.140625" style="51" customWidth="1"/>
    <col min="517" max="517" width="9.28515625" style="51" customWidth="1"/>
    <col min="518" max="518" width="10.140625" style="51" customWidth="1"/>
    <col min="519" max="520" width="9.5703125" style="51" customWidth="1"/>
    <col min="521" max="521" width="6.5703125" style="51" customWidth="1"/>
    <col min="522" max="522" width="9.85546875" style="51" customWidth="1"/>
    <col min="523" max="523" width="9.42578125" style="51" customWidth="1"/>
    <col min="524" max="527" width="7.85546875" style="51" customWidth="1"/>
    <col min="528" max="528" width="9.5703125" style="51" customWidth="1"/>
    <col min="529" max="532" width="8.5703125" style="51" customWidth="1"/>
    <col min="533" max="533" width="8" style="51" customWidth="1"/>
    <col min="534" max="534" width="7.85546875" style="51" customWidth="1"/>
    <col min="535" max="535" width="12.140625" style="51" customWidth="1"/>
    <col min="536" max="536" width="9.28515625" style="51" bestFit="1" customWidth="1"/>
    <col min="537" max="537" width="10" style="51" customWidth="1"/>
    <col min="538" max="767" width="9" style="51"/>
    <col min="768" max="768" width="6.140625" style="51" customWidth="1"/>
    <col min="769" max="769" width="13.85546875" style="51" customWidth="1"/>
    <col min="770" max="770" width="6.28515625" style="51" customWidth="1"/>
    <col min="771" max="771" width="9.85546875" style="51" customWidth="1"/>
    <col min="772" max="772" width="9.140625" style="51" customWidth="1"/>
    <col min="773" max="773" width="9.28515625" style="51" customWidth="1"/>
    <col min="774" max="774" width="10.140625" style="51" customWidth="1"/>
    <col min="775" max="776" width="9.5703125" style="51" customWidth="1"/>
    <col min="777" max="777" width="6.5703125" style="51" customWidth="1"/>
    <col min="778" max="778" width="9.85546875" style="51" customWidth="1"/>
    <col min="779" max="779" width="9.42578125" style="51" customWidth="1"/>
    <col min="780" max="783" width="7.85546875" style="51" customWidth="1"/>
    <col min="784" max="784" width="9.5703125" style="51" customWidth="1"/>
    <col min="785" max="788" width="8.5703125" style="51" customWidth="1"/>
    <col min="789" max="789" width="8" style="51" customWidth="1"/>
    <col min="790" max="790" width="7.85546875" style="51" customWidth="1"/>
    <col min="791" max="791" width="12.140625" style="51" customWidth="1"/>
    <col min="792" max="792" width="9.28515625" style="51" bestFit="1" customWidth="1"/>
    <col min="793" max="793" width="10" style="51" customWidth="1"/>
    <col min="794" max="1023" width="9" style="51"/>
    <col min="1024" max="1024" width="6.140625" style="51" customWidth="1"/>
    <col min="1025" max="1025" width="13.85546875" style="51" customWidth="1"/>
    <col min="1026" max="1026" width="6.28515625" style="51" customWidth="1"/>
    <col min="1027" max="1027" width="9.85546875" style="51" customWidth="1"/>
    <col min="1028" max="1028" width="9.140625" style="51" customWidth="1"/>
    <col min="1029" max="1029" width="9.28515625" style="51" customWidth="1"/>
    <col min="1030" max="1030" width="10.140625" style="51" customWidth="1"/>
    <col min="1031" max="1032" width="9.5703125" style="51" customWidth="1"/>
    <col min="1033" max="1033" width="6.5703125" style="51" customWidth="1"/>
    <col min="1034" max="1034" width="9.85546875" style="51" customWidth="1"/>
    <col min="1035" max="1035" width="9.42578125" style="51" customWidth="1"/>
    <col min="1036" max="1039" width="7.85546875" style="51" customWidth="1"/>
    <col min="1040" max="1040" width="9.5703125" style="51" customWidth="1"/>
    <col min="1041" max="1044" width="8.5703125" style="51" customWidth="1"/>
    <col min="1045" max="1045" width="8" style="51" customWidth="1"/>
    <col min="1046" max="1046" width="7.85546875" style="51" customWidth="1"/>
    <col min="1047" max="1047" width="12.140625" style="51" customWidth="1"/>
    <col min="1048" max="1048" width="9.28515625" style="51" bestFit="1" customWidth="1"/>
    <col min="1049" max="1049" width="10" style="51" customWidth="1"/>
    <col min="1050" max="1279" width="9" style="51"/>
    <col min="1280" max="1280" width="6.140625" style="51" customWidth="1"/>
    <col min="1281" max="1281" width="13.85546875" style="51" customWidth="1"/>
    <col min="1282" max="1282" width="6.28515625" style="51" customWidth="1"/>
    <col min="1283" max="1283" width="9.85546875" style="51" customWidth="1"/>
    <col min="1284" max="1284" width="9.140625" style="51" customWidth="1"/>
    <col min="1285" max="1285" width="9.28515625" style="51" customWidth="1"/>
    <col min="1286" max="1286" width="10.140625" style="51" customWidth="1"/>
    <col min="1287" max="1288" width="9.5703125" style="51" customWidth="1"/>
    <col min="1289" max="1289" width="6.5703125" style="51" customWidth="1"/>
    <col min="1290" max="1290" width="9.85546875" style="51" customWidth="1"/>
    <col min="1291" max="1291" width="9.42578125" style="51" customWidth="1"/>
    <col min="1292" max="1295" width="7.85546875" style="51" customWidth="1"/>
    <col min="1296" max="1296" width="9.5703125" style="51" customWidth="1"/>
    <col min="1297" max="1300" width="8.5703125" style="51" customWidth="1"/>
    <col min="1301" max="1301" width="8" style="51" customWidth="1"/>
    <col min="1302" max="1302" width="7.85546875" style="51" customWidth="1"/>
    <col min="1303" max="1303" width="12.140625" style="51" customWidth="1"/>
    <col min="1304" max="1304" width="9.28515625" style="51" bestFit="1" customWidth="1"/>
    <col min="1305" max="1305" width="10" style="51" customWidth="1"/>
    <col min="1306" max="1535" width="9" style="51"/>
    <col min="1536" max="1536" width="6.140625" style="51" customWidth="1"/>
    <col min="1537" max="1537" width="13.85546875" style="51" customWidth="1"/>
    <col min="1538" max="1538" width="6.28515625" style="51" customWidth="1"/>
    <col min="1539" max="1539" width="9.85546875" style="51" customWidth="1"/>
    <col min="1540" max="1540" width="9.140625" style="51" customWidth="1"/>
    <col min="1541" max="1541" width="9.28515625" style="51" customWidth="1"/>
    <col min="1542" max="1542" width="10.140625" style="51" customWidth="1"/>
    <col min="1543" max="1544" width="9.5703125" style="51" customWidth="1"/>
    <col min="1545" max="1545" width="6.5703125" style="51" customWidth="1"/>
    <col min="1546" max="1546" width="9.85546875" style="51" customWidth="1"/>
    <col min="1547" max="1547" width="9.42578125" style="51" customWidth="1"/>
    <col min="1548" max="1551" width="7.85546875" style="51" customWidth="1"/>
    <col min="1552" max="1552" width="9.5703125" style="51" customWidth="1"/>
    <col min="1553" max="1556" width="8.5703125" style="51" customWidth="1"/>
    <col min="1557" max="1557" width="8" style="51" customWidth="1"/>
    <col min="1558" max="1558" width="7.85546875" style="51" customWidth="1"/>
    <col min="1559" max="1559" width="12.140625" style="51" customWidth="1"/>
    <col min="1560" max="1560" width="9.28515625" style="51" bestFit="1" customWidth="1"/>
    <col min="1561" max="1561" width="10" style="51" customWidth="1"/>
    <col min="1562" max="1791" width="9" style="51"/>
    <col min="1792" max="1792" width="6.140625" style="51" customWidth="1"/>
    <col min="1793" max="1793" width="13.85546875" style="51" customWidth="1"/>
    <col min="1794" max="1794" width="6.28515625" style="51" customWidth="1"/>
    <col min="1795" max="1795" width="9.85546875" style="51" customWidth="1"/>
    <col min="1796" max="1796" width="9.140625" style="51" customWidth="1"/>
    <col min="1797" max="1797" width="9.28515625" style="51" customWidth="1"/>
    <col min="1798" max="1798" width="10.140625" style="51" customWidth="1"/>
    <col min="1799" max="1800" width="9.5703125" style="51" customWidth="1"/>
    <col min="1801" max="1801" width="6.5703125" style="51" customWidth="1"/>
    <col min="1802" max="1802" width="9.85546875" style="51" customWidth="1"/>
    <col min="1803" max="1803" width="9.42578125" style="51" customWidth="1"/>
    <col min="1804" max="1807" width="7.85546875" style="51" customWidth="1"/>
    <col min="1808" max="1808" width="9.5703125" style="51" customWidth="1"/>
    <col min="1809" max="1812" width="8.5703125" style="51" customWidth="1"/>
    <col min="1813" max="1813" width="8" style="51" customWidth="1"/>
    <col min="1814" max="1814" width="7.85546875" style="51" customWidth="1"/>
    <col min="1815" max="1815" width="12.140625" style="51" customWidth="1"/>
    <col min="1816" max="1816" width="9.28515625" style="51" bestFit="1" customWidth="1"/>
    <col min="1817" max="1817" width="10" style="51" customWidth="1"/>
    <col min="1818" max="2047" width="9" style="51"/>
    <col min="2048" max="2048" width="6.140625" style="51" customWidth="1"/>
    <col min="2049" max="2049" width="13.85546875" style="51" customWidth="1"/>
    <col min="2050" max="2050" width="6.28515625" style="51" customWidth="1"/>
    <col min="2051" max="2051" width="9.85546875" style="51" customWidth="1"/>
    <col min="2052" max="2052" width="9.140625" style="51" customWidth="1"/>
    <col min="2053" max="2053" width="9.28515625" style="51" customWidth="1"/>
    <col min="2054" max="2054" width="10.140625" style="51" customWidth="1"/>
    <col min="2055" max="2056" width="9.5703125" style="51" customWidth="1"/>
    <col min="2057" max="2057" width="6.5703125" style="51" customWidth="1"/>
    <col min="2058" max="2058" width="9.85546875" style="51" customWidth="1"/>
    <col min="2059" max="2059" width="9.42578125" style="51" customWidth="1"/>
    <col min="2060" max="2063" width="7.85546875" style="51" customWidth="1"/>
    <col min="2064" max="2064" width="9.5703125" style="51" customWidth="1"/>
    <col min="2065" max="2068" width="8.5703125" style="51" customWidth="1"/>
    <col min="2069" max="2069" width="8" style="51" customWidth="1"/>
    <col min="2070" max="2070" width="7.85546875" style="51" customWidth="1"/>
    <col min="2071" max="2071" width="12.140625" style="51" customWidth="1"/>
    <col min="2072" max="2072" width="9.28515625" style="51" bestFit="1" customWidth="1"/>
    <col min="2073" max="2073" width="10" style="51" customWidth="1"/>
    <col min="2074" max="2303" width="9" style="51"/>
    <col min="2304" max="2304" width="6.140625" style="51" customWidth="1"/>
    <col min="2305" max="2305" width="13.85546875" style="51" customWidth="1"/>
    <col min="2306" max="2306" width="6.28515625" style="51" customWidth="1"/>
    <col min="2307" max="2307" width="9.85546875" style="51" customWidth="1"/>
    <col min="2308" max="2308" width="9.140625" style="51" customWidth="1"/>
    <col min="2309" max="2309" width="9.28515625" style="51" customWidth="1"/>
    <col min="2310" max="2310" width="10.140625" style="51" customWidth="1"/>
    <col min="2311" max="2312" width="9.5703125" style="51" customWidth="1"/>
    <col min="2313" max="2313" width="6.5703125" style="51" customWidth="1"/>
    <col min="2314" max="2314" width="9.85546875" style="51" customWidth="1"/>
    <col min="2315" max="2315" width="9.42578125" style="51" customWidth="1"/>
    <col min="2316" max="2319" width="7.85546875" style="51" customWidth="1"/>
    <col min="2320" max="2320" width="9.5703125" style="51" customWidth="1"/>
    <col min="2321" max="2324" width="8.5703125" style="51" customWidth="1"/>
    <col min="2325" max="2325" width="8" style="51" customWidth="1"/>
    <col min="2326" max="2326" width="7.85546875" style="51" customWidth="1"/>
    <col min="2327" max="2327" width="12.140625" style="51" customWidth="1"/>
    <col min="2328" max="2328" width="9.28515625" style="51" bestFit="1" customWidth="1"/>
    <col min="2329" max="2329" width="10" style="51" customWidth="1"/>
    <col min="2330" max="2559" width="9" style="51"/>
    <col min="2560" max="2560" width="6.140625" style="51" customWidth="1"/>
    <col min="2561" max="2561" width="13.85546875" style="51" customWidth="1"/>
    <col min="2562" max="2562" width="6.28515625" style="51" customWidth="1"/>
    <col min="2563" max="2563" width="9.85546875" style="51" customWidth="1"/>
    <col min="2564" max="2564" width="9.140625" style="51" customWidth="1"/>
    <col min="2565" max="2565" width="9.28515625" style="51" customWidth="1"/>
    <col min="2566" max="2566" width="10.140625" style="51" customWidth="1"/>
    <col min="2567" max="2568" width="9.5703125" style="51" customWidth="1"/>
    <col min="2569" max="2569" width="6.5703125" style="51" customWidth="1"/>
    <col min="2570" max="2570" width="9.85546875" style="51" customWidth="1"/>
    <col min="2571" max="2571" width="9.42578125" style="51" customWidth="1"/>
    <col min="2572" max="2575" width="7.85546875" style="51" customWidth="1"/>
    <col min="2576" max="2576" width="9.5703125" style="51" customWidth="1"/>
    <col min="2577" max="2580" width="8.5703125" style="51" customWidth="1"/>
    <col min="2581" max="2581" width="8" style="51" customWidth="1"/>
    <col min="2582" max="2582" width="7.85546875" style="51" customWidth="1"/>
    <col min="2583" max="2583" width="12.140625" style="51" customWidth="1"/>
    <col min="2584" max="2584" width="9.28515625" style="51" bestFit="1" customWidth="1"/>
    <col min="2585" max="2585" width="10" style="51" customWidth="1"/>
    <col min="2586" max="2815" width="9" style="51"/>
    <col min="2816" max="2816" width="6.140625" style="51" customWidth="1"/>
    <col min="2817" max="2817" width="13.85546875" style="51" customWidth="1"/>
    <col min="2818" max="2818" width="6.28515625" style="51" customWidth="1"/>
    <col min="2819" max="2819" width="9.85546875" style="51" customWidth="1"/>
    <col min="2820" max="2820" width="9.140625" style="51" customWidth="1"/>
    <col min="2821" max="2821" width="9.28515625" style="51" customWidth="1"/>
    <col min="2822" max="2822" width="10.140625" style="51" customWidth="1"/>
    <col min="2823" max="2824" width="9.5703125" style="51" customWidth="1"/>
    <col min="2825" max="2825" width="6.5703125" style="51" customWidth="1"/>
    <col min="2826" max="2826" width="9.85546875" style="51" customWidth="1"/>
    <col min="2827" max="2827" width="9.42578125" style="51" customWidth="1"/>
    <col min="2828" max="2831" width="7.85546875" style="51" customWidth="1"/>
    <col min="2832" max="2832" width="9.5703125" style="51" customWidth="1"/>
    <col min="2833" max="2836" width="8.5703125" style="51" customWidth="1"/>
    <col min="2837" max="2837" width="8" style="51" customWidth="1"/>
    <col min="2838" max="2838" width="7.85546875" style="51" customWidth="1"/>
    <col min="2839" max="2839" width="12.140625" style="51" customWidth="1"/>
    <col min="2840" max="2840" width="9.28515625" style="51" bestFit="1" customWidth="1"/>
    <col min="2841" max="2841" width="10" style="51" customWidth="1"/>
    <col min="2842" max="3071" width="9" style="51"/>
    <col min="3072" max="3072" width="6.140625" style="51" customWidth="1"/>
    <col min="3073" max="3073" width="13.85546875" style="51" customWidth="1"/>
    <col min="3074" max="3074" width="6.28515625" style="51" customWidth="1"/>
    <col min="3075" max="3075" width="9.85546875" style="51" customWidth="1"/>
    <col min="3076" max="3076" width="9.140625" style="51" customWidth="1"/>
    <col min="3077" max="3077" width="9.28515625" style="51" customWidth="1"/>
    <col min="3078" max="3078" width="10.140625" style="51" customWidth="1"/>
    <col min="3079" max="3080" width="9.5703125" style="51" customWidth="1"/>
    <col min="3081" max="3081" width="6.5703125" style="51" customWidth="1"/>
    <col min="3082" max="3082" width="9.85546875" style="51" customWidth="1"/>
    <col min="3083" max="3083" width="9.42578125" style="51" customWidth="1"/>
    <col min="3084" max="3087" width="7.85546875" style="51" customWidth="1"/>
    <col min="3088" max="3088" width="9.5703125" style="51" customWidth="1"/>
    <col min="3089" max="3092" width="8.5703125" style="51" customWidth="1"/>
    <col min="3093" max="3093" width="8" style="51" customWidth="1"/>
    <col min="3094" max="3094" width="7.85546875" style="51" customWidth="1"/>
    <col min="3095" max="3095" width="12.140625" style="51" customWidth="1"/>
    <col min="3096" max="3096" width="9.28515625" style="51" bestFit="1" customWidth="1"/>
    <col min="3097" max="3097" width="10" style="51" customWidth="1"/>
    <col min="3098" max="3327" width="9" style="51"/>
    <col min="3328" max="3328" width="6.140625" style="51" customWidth="1"/>
    <col min="3329" max="3329" width="13.85546875" style="51" customWidth="1"/>
    <col min="3330" max="3330" width="6.28515625" style="51" customWidth="1"/>
    <col min="3331" max="3331" width="9.85546875" style="51" customWidth="1"/>
    <col min="3332" max="3332" width="9.140625" style="51" customWidth="1"/>
    <col min="3333" max="3333" width="9.28515625" style="51" customWidth="1"/>
    <col min="3334" max="3334" width="10.140625" style="51" customWidth="1"/>
    <col min="3335" max="3336" width="9.5703125" style="51" customWidth="1"/>
    <col min="3337" max="3337" width="6.5703125" style="51" customWidth="1"/>
    <col min="3338" max="3338" width="9.85546875" style="51" customWidth="1"/>
    <col min="3339" max="3339" width="9.42578125" style="51" customWidth="1"/>
    <col min="3340" max="3343" width="7.85546875" style="51" customWidth="1"/>
    <col min="3344" max="3344" width="9.5703125" style="51" customWidth="1"/>
    <col min="3345" max="3348" width="8.5703125" style="51" customWidth="1"/>
    <col min="3349" max="3349" width="8" style="51" customWidth="1"/>
    <col min="3350" max="3350" width="7.85546875" style="51" customWidth="1"/>
    <col min="3351" max="3351" width="12.140625" style="51" customWidth="1"/>
    <col min="3352" max="3352" width="9.28515625" style="51" bestFit="1" customWidth="1"/>
    <col min="3353" max="3353" width="10" style="51" customWidth="1"/>
    <col min="3354" max="3583" width="9" style="51"/>
    <col min="3584" max="3584" width="6.140625" style="51" customWidth="1"/>
    <col min="3585" max="3585" width="13.85546875" style="51" customWidth="1"/>
    <col min="3586" max="3586" width="6.28515625" style="51" customWidth="1"/>
    <col min="3587" max="3587" width="9.85546875" style="51" customWidth="1"/>
    <col min="3588" max="3588" width="9.140625" style="51" customWidth="1"/>
    <col min="3589" max="3589" width="9.28515625" style="51" customWidth="1"/>
    <col min="3590" max="3590" width="10.140625" style="51" customWidth="1"/>
    <col min="3591" max="3592" width="9.5703125" style="51" customWidth="1"/>
    <col min="3593" max="3593" width="6.5703125" style="51" customWidth="1"/>
    <col min="3594" max="3594" width="9.85546875" style="51" customWidth="1"/>
    <col min="3595" max="3595" width="9.42578125" style="51" customWidth="1"/>
    <col min="3596" max="3599" width="7.85546875" style="51" customWidth="1"/>
    <col min="3600" max="3600" width="9.5703125" style="51" customWidth="1"/>
    <col min="3601" max="3604" width="8.5703125" style="51" customWidth="1"/>
    <col min="3605" max="3605" width="8" style="51" customWidth="1"/>
    <col min="3606" max="3606" width="7.85546875" style="51" customWidth="1"/>
    <col min="3607" max="3607" width="12.140625" style="51" customWidth="1"/>
    <col min="3608" max="3608" width="9.28515625" style="51" bestFit="1" customWidth="1"/>
    <col min="3609" max="3609" width="10" style="51" customWidth="1"/>
    <col min="3610" max="3839" width="9" style="51"/>
    <col min="3840" max="3840" width="6.140625" style="51" customWidth="1"/>
    <col min="3841" max="3841" width="13.85546875" style="51" customWidth="1"/>
    <col min="3842" max="3842" width="6.28515625" style="51" customWidth="1"/>
    <col min="3843" max="3843" width="9.85546875" style="51" customWidth="1"/>
    <col min="3844" max="3844" width="9.140625" style="51" customWidth="1"/>
    <col min="3845" max="3845" width="9.28515625" style="51" customWidth="1"/>
    <col min="3846" max="3846" width="10.140625" style="51" customWidth="1"/>
    <col min="3847" max="3848" width="9.5703125" style="51" customWidth="1"/>
    <col min="3849" max="3849" width="6.5703125" style="51" customWidth="1"/>
    <col min="3850" max="3850" width="9.85546875" style="51" customWidth="1"/>
    <col min="3851" max="3851" width="9.42578125" style="51" customWidth="1"/>
    <col min="3852" max="3855" width="7.85546875" style="51" customWidth="1"/>
    <col min="3856" max="3856" width="9.5703125" style="51" customWidth="1"/>
    <col min="3857" max="3860" width="8.5703125" style="51" customWidth="1"/>
    <col min="3861" max="3861" width="8" style="51" customWidth="1"/>
    <col min="3862" max="3862" width="7.85546875" style="51" customWidth="1"/>
    <col min="3863" max="3863" width="12.140625" style="51" customWidth="1"/>
    <col min="3864" max="3864" width="9.28515625" style="51" bestFit="1" customWidth="1"/>
    <col min="3865" max="3865" width="10" style="51" customWidth="1"/>
    <col min="3866" max="4095" width="9" style="51"/>
    <col min="4096" max="4096" width="6.140625" style="51" customWidth="1"/>
    <col min="4097" max="4097" width="13.85546875" style="51" customWidth="1"/>
    <col min="4098" max="4098" width="6.28515625" style="51" customWidth="1"/>
    <col min="4099" max="4099" width="9.85546875" style="51" customWidth="1"/>
    <col min="4100" max="4100" width="9.140625" style="51" customWidth="1"/>
    <col min="4101" max="4101" width="9.28515625" style="51" customWidth="1"/>
    <col min="4102" max="4102" width="10.140625" style="51" customWidth="1"/>
    <col min="4103" max="4104" width="9.5703125" style="51" customWidth="1"/>
    <col min="4105" max="4105" width="6.5703125" style="51" customWidth="1"/>
    <col min="4106" max="4106" width="9.85546875" style="51" customWidth="1"/>
    <col min="4107" max="4107" width="9.42578125" style="51" customWidth="1"/>
    <col min="4108" max="4111" width="7.85546875" style="51" customWidth="1"/>
    <col min="4112" max="4112" width="9.5703125" style="51" customWidth="1"/>
    <col min="4113" max="4116" width="8.5703125" style="51" customWidth="1"/>
    <col min="4117" max="4117" width="8" style="51" customWidth="1"/>
    <col min="4118" max="4118" width="7.85546875" style="51" customWidth="1"/>
    <col min="4119" max="4119" width="12.140625" style="51" customWidth="1"/>
    <col min="4120" max="4120" width="9.28515625" style="51" bestFit="1" customWidth="1"/>
    <col min="4121" max="4121" width="10" style="51" customWidth="1"/>
    <col min="4122" max="4351" width="9" style="51"/>
    <col min="4352" max="4352" width="6.140625" style="51" customWidth="1"/>
    <col min="4353" max="4353" width="13.85546875" style="51" customWidth="1"/>
    <col min="4354" max="4354" width="6.28515625" style="51" customWidth="1"/>
    <col min="4355" max="4355" width="9.85546875" style="51" customWidth="1"/>
    <col min="4356" max="4356" width="9.140625" style="51" customWidth="1"/>
    <col min="4357" max="4357" width="9.28515625" style="51" customWidth="1"/>
    <col min="4358" max="4358" width="10.140625" style="51" customWidth="1"/>
    <col min="4359" max="4360" width="9.5703125" style="51" customWidth="1"/>
    <col min="4361" max="4361" width="6.5703125" style="51" customWidth="1"/>
    <col min="4362" max="4362" width="9.85546875" style="51" customWidth="1"/>
    <col min="4363" max="4363" width="9.42578125" style="51" customWidth="1"/>
    <col min="4364" max="4367" width="7.85546875" style="51" customWidth="1"/>
    <col min="4368" max="4368" width="9.5703125" style="51" customWidth="1"/>
    <col min="4369" max="4372" width="8.5703125" style="51" customWidth="1"/>
    <col min="4373" max="4373" width="8" style="51" customWidth="1"/>
    <col min="4374" max="4374" width="7.85546875" style="51" customWidth="1"/>
    <col min="4375" max="4375" width="12.140625" style="51" customWidth="1"/>
    <col min="4376" max="4376" width="9.28515625" style="51" bestFit="1" customWidth="1"/>
    <col min="4377" max="4377" width="10" style="51" customWidth="1"/>
    <col min="4378" max="4607" width="9" style="51"/>
    <col min="4608" max="4608" width="6.140625" style="51" customWidth="1"/>
    <col min="4609" max="4609" width="13.85546875" style="51" customWidth="1"/>
    <col min="4610" max="4610" width="6.28515625" style="51" customWidth="1"/>
    <col min="4611" max="4611" width="9.85546875" style="51" customWidth="1"/>
    <col min="4612" max="4612" width="9.140625" style="51" customWidth="1"/>
    <col min="4613" max="4613" width="9.28515625" style="51" customWidth="1"/>
    <col min="4614" max="4614" width="10.140625" style="51" customWidth="1"/>
    <col min="4615" max="4616" width="9.5703125" style="51" customWidth="1"/>
    <col min="4617" max="4617" width="6.5703125" style="51" customWidth="1"/>
    <col min="4618" max="4618" width="9.85546875" style="51" customWidth="1"/>
    <col min="4619" max="4619" width="9.42578125" style="51" customWidth="1"/>
    <col min="4620" max="4623" width="7.85546875" style="51" customWidth="1"/>
    <col min="4624" max="4624" width="9.5703125" style="51" customWidth="1"/>
    <col min="4625" max="4628" width="8.5703125" style="51" customWidth="1"/>
    <col min="4629" max="4629" width="8" style="51" customWidth="1"/>
    <col min="4630" max="4630" width="7.85546875" style="51" customWidth="1"/>
    <col min="4631" max="4631" width="12.140625" style="51" customWidth="1"/>
    <col min="4632" max="4632" width="9.28515625" style="51" bestFit="1" customWidth="1"/>
    <col min="4633" max="4633" width="10" style="51" customWidth="1"/>
    <col min="4634" max="4863" width="9" style="51"/>
    <col min="4864" max="4864" width="6.140625" style="51" customWidth="1"/>
    <col min="4865" max="4865" width="13.85546875" style="51" customWidth="1"/>
    <col min="4866" max="4866" width="6.28515625" style="51" customWidth="1"/>
    <col min="4867" max="4867" width="9.85546875" style="51" customWidth="1"/>
    <col min="4868" max="4868" width="9.140625" style="51" customWidth="1"/>
    <col min="4869" max="4869" width="9.28515625" style="51" customWidth="1"/>
    <col min="4870" max="4870" width="10.140625" style="51" customWidth="1"/>
    <col min="4871" max="4872" width="9.5703125" style="51" customWidth="1"/>
    <col min="4873" max="4873" width="6.5703125" style="51" customWidth="1"/>
    <col min="4874" max="4874" width="9.85546875" style="51" customWidth="1"/>
    <col min="4875" max="4875" width="9.42578125" style="51" customWidth="1"/>
    <col min="4876" max="4879" width="7.85546875" style="51" customWidth="1"/>
    <col min="4880" max="4880" width="9.5703125" style="51" customWidth="1"/>
    <col min="4881" max="4884" width="8.5703125" style="51" customWidth="1"/>
    <col min="4885" max="4885" width="8" style="51" customWidth="1"/>
    <col min="4886" max="4886" width="7.85546875" style="51" customWidth="1"/>
    <col min="4887" max="4887" width="12.140625" style="51" customWidth="1"/>
    <col min="4888" max="4888" width="9.28515625" style="51" bestFit="1" customWidth="1"/>
    <col min="4889" max="4889" width="10" style="51" customWidth="1"/>
    <col min="4890" max="5119" width="9" style="51"/>
    <col min="5120" max="5120" width="6.140625" style="51" customWidth="1"/>
    <col min="5121" max="5121" width="13.85546875" style="51" customWidth="1"/>
    <col min="5122" max="5122" width="6.28515625" style="51" customWidth="1"/>
    <col min="5123" max="5123" width="9.85546875" style="51" customWidth="1"/>
    <col min="5124" max="5124" width="9.140625" style="51" customWidth="1"/>
    <col min="5125" max="5125" width="9.28515625" style="51" customWidth="1"/>
    <col min="5126" max="5126" width="10.140625" style="51" customWidth="1"/>
    <col min="5127" max="5128" width="9.5703125" style="51" customWidth="1"/>
    <col min="5129" max="5129" width="6.5703125" style="51" customWidth="1"/>
    <col min="5130" max="5130" width="9.85546875" style="51" customWidth="1"/>
    <col min="5131" max="5131" width="9.42578125" style="51" customWidth="1"/>
    <col min="5132" max="5135" width="7.85546875" style="51" customWidth="1"/>
    <col min="5136" max="5136" width="9.5703125" style="51" customWidth="1"/>
    <col min="5137" max="5140" width="8.5703125" style="51" customWidth="1"/>
    <col min="5141" max="5141" width="8" style="51" customWidth="1"/>
    <col min="5142" max="5142" width="7.85546875" style="51" customWidth="1"/>
    <col min="5143" max="5143" width="12.140625" style="51" customWidth="1"/>
    <col min="5144" max="5144" width="9.28515625" style="51" bestFit="1" customWidth="1"/>
    <col min="5145" max="5145" width="10" style="51" customWidth="1"/>
    <col min="5146" max="5375" width="9" style="51"/>
    <col min="5376" max="5376" width="6.140625" style="51" customWidth="1"/>
    <col min="5377" max="5377" width="13.85546875" style="51" customWidth="1"/>
    <col min="5378" max="5378" width="6.28515625" style="51" customWidth="1"/>
    <col min="5379" max="5379" width="9.85546875" style="51" customWidth="1"/>
    <col min="5380" max="5380" width="9.140625" style="51" customWidth="1"/>
    <col min="5381" max="5381" width="9.28515625" style="51" customWidth="1"/>
    <col min="5382" max="5382" width="10.140625" style="51" customWidth="1"/>
    <col min="5383" max="5384" width="9.5703125" style="51" customWidth="1"/>
    <col min="5385" max="5385" width="6.5703125" style="51" customWidth="1"/>
    <col min="5386" max="5386" width="9.85546875" style="51" customWidth="1"/>
    <col min="5387" max="5387" width="9.42578125" style="51" customWidth="1"/>
    <col min="5388" max="5391" width="7.85546875" style="51" customWidth="1"/>
    <col min="5392" max="5392" width="9.5703125" style="51" customWidth="1"/>
    <col min="5393" max="5396" width="8.5703125" style="51" customWidth="1"/>
    <col min="5397" max="5397" width="8" style="51" customWidth="1"/>
    <col min="5398" max="5398" width="7.85546875" style="51" customWidth="1"/>
    <col min="5399" max="5399" width="12.140625" style="51" customWidth="1"/>
    <col min="5400" max="5400" width="9.28515625" style="51" bestFit="1" customWidth="1"/>
    <col min="5401" max="5401" width="10" style="51" customWidth="1"/>
    <col min="5402" max="5631" width="9" style="51"/>
    <col min="5632" max="5632" width="6.140625" style="51" customWidth="1"/>
    <col min="5633" max="5633" width="13.85546875" style="51" customWidth="1"/>
    <col min="5634" max="5634" width="6.28515625" style="51" customWidth="1"/>
    <col min="5635" max="5635" width="9.85546875" style="51" customWidth="1"/>
    <col min="5636" max="5636" width="9.140625" style="51" customWidth="1"/>
    <col min="5637" max="5637" width="9.28515625" style="51" customWidth="1"/>
    <col min="5638" max="5638" width="10.140625" style="51" customWidth="1"/>
    <col min="5639" max="5640" width="9.5703125" style="51" customWidth="1"/>
    <col min="5641" max="5641" width="6.5703125" style="51" customWidth="1"/>
    <col min="5642" max="5642" width="9.85546875" style="51" customWidth="1"/>
    <col min="5643" max="5643" width="9.42578125" style="51" customWidth="1"/>
    <col min="5644" max="5647" width="7.85546875" style="51" customWidth="1"/>
    <col min="5648" max="5648" width="9.5703125" style="51" customWidth="1"/>
    <col min="5649" max="5652" width="8.5703125" style="51" customWidth="1"/>
    <col min="5653" max="5653" width="8" style="51" customWidth="1"/>
    <col min="5654" max="5654" width="7.85546875" style="51" customWidth="1"/>
    <col min="5655" max="5655" width="12.140625" style="51" customWidth="1"/>
    <col min="5656" max="5656" width="9.28515625" style="51" bestFit="1" customWidth="1"/>
    <col min="5657" max="5657" width="10" style="51" customWidth="1"/>
    <col min="5658" max="5887" width="9" style="51"/>
    <col min="5888" max="5888" width="6.140625" style="51" customWidth="1"/>
    <col min="5889" max="5889" width="13.85546875" style="51" customWidth="1"/>
    <col min="5890" max="5890" width="6.28515625" style="51" customWidth="1"/>
    <col min="5891" max="5891" width="9.85546875" style="51" customWidth="1"/>
    <col min="5892" max="5892" width="9.140625" style="51" customWidth="1"/>
    <col min="5893" max="5893" width="9.28515625" style="51" customWidth="1"/>
    <col min="5894" max="5894" width="10.140625" style="51" customWidth="1"/>
    <col min="5895" max="5896" width="9.5703125" style="51" customWidth="1"/>
    <col min="5897" max="5897" width="6.5703125" style="51" customWidth="1"/>
    <col min="5898" max="5898" width="9.85546875" style="51" customWidth="1"/>
    <col min="5899" max="5899" width="9.42578125" style="51" customWidth="1"/>
    <col min="5900" max="5903" width="7.85546875" style="51" customWidth="1"/>
    <col min="5904" max="5904" width="9.5703125" style="51" customWidth="1"/>
    <col min="5905" max="5908" width="8.5703125" style="51" customWidth="1"/>
    <col min="5909" max="5909" width="8" style="51" customWidth="1"/>
    <col min="5910" max="5910" width="7.85546875" style="51" customWidth="1"/>
    <col min="5911" max="5911" width="12.140625" style="51" customWidth="1"/>
    <col min="5912" max="5912" width="9.28515625" style="51" bestFit="1" customWidth="1"/>
    <col min="5913" max="5913" width="10" style="51" customWidth="1"/>
    <col min="5914" max="6143" width="9" style="51"/>
    <col min="6144" max="6144" width="6.140625" style="51" customWidth="1"/>
    <col min="6145" max="6145" width="13.85546875" style="51" customWidth="1"/>
    <col min="6146" max="6146" width="6.28515625" style="51" customWidth="1"/>
    <col min="6147" max="6147" width="9.85546875" style="51" customWidth="1"/>
    <col min="6148" max="6148" width="9.140625" style="51" customWidth="1"/>
    <col min="6149" max="6149" width="9.28515625" style="51" customWidth="1"/>
    <col min="6150" max="6150" width="10.140625" style="51" customWidth="1"/>
    <col min="6151" max="6152" width="9.5703125" style="51" customWidth="1"/>
    <col min="6153" max="6153" width="6.5703125" style="51" customWidth="1"/>
    <col min="6154" max="6154" width="9.85546875" style="51" customWidth="1"/>
    <col min="6155" max="6155" width="9.42578125" style="51" customWidth="1"/>
    <col min="6156" max="6159" width="7.85546875" style="51" customWidth="1"/>
    <col min="6160" max="6160" width="9.5703125" style="51" customWidth="1"/>
    <col min="6161" max="6164" width="8.5703125" style="51" customWidth="1"/>
    <col min="6165" max="6165" width="8" style="51" customWidth="1"/>
    <col min="6166" max="6166" width="7.85546875" style="51" customWidth="1"/>
    <col min="6167" max="6167" width="12.140625" style="51" customWidth="1"/>
    <col min="6168" max="6168" width="9.28515625" style="51" bestFit="1" customWidth="1"/>
    <col min="6169" max="6169" width="10" style="51" customWidth="1"/>
    <col min="6170" max="6399" width="9" style="51"/>
    <col min="6400" max="6400" width="6.140625" style="51" customWidth="1"/>
    <col min="6401" max="6401" width="13.85546875" style="51" customWidth="1"/>
    <col min="6402" max="6402" width="6.28515625" style="51" customWidth="1"/>
    <col min="6403" max="6403" width="9.85546875" style="51" customWidth="1"/>
    <col min="6404" max="6404" width="9.140625" style="51" customWidth="1"/>
    <col min="6405" max="6405" width="9.28515625" style="51" customWidth="1"/>
    <col min="6406" max="6406" width="10.140625" style="51" customWidth="1"/>
    <col min="6407" max="6408" width="9.5703125" style="51" customWidth="1"/>
    <col min="6409" max="6409" width="6.5703125" style="51" customWidth="1"/>
    <col min="6410" max="6410" width="9.85546875" style="51" customWidth="1"/>
    <col min="6411" max="6411" width="9.42578125" style="51" customWidth="1"/>
    <col min="6412" max="6415" width="7.85546875" style="51" customWidth="1"/>
    <col min="6416" max="6416" width="9.5703125" style="51" customWidth="1"/>
    <col min="6417" max="6420" width="8.5703125" style="51" customWidth="1"/>
    <col min="6421" max="6421" width="8" style="51" customWidth="1"/>
    <col min="6422" max="6422" width="7.85546875" style="51" customWidth="1"/>
    <col min="6423" max="6423" width="12.140625" style="51" customWidth="1"/>
    <col min="6424" max="6424" width="9.28515625" style="51" bestFit="1" customWidth="1"/>
    <col min="6425" max="6425" width="10" style="51" customWidth="1"/>
    <col min="6426" max="6655" width="9" style="51"/>
    <col min="6656" max="6656" width="6.140625" style="51" customWidth="1"/>
    <col min="6657" max="6657" width="13.85546875" style="51" customWidth="1"/>
    <col min="6658" max="6658" width="6.28515625" style="51" customWidth="1"/>
    <col min="6659" max="6659" width="9.85546875" style="51" customWidth="1"/>
    <col min="6660" max="6660" width="9.140625" style="51" customWidth="1"/>
    <col min="6661" max="6661" width="9.28515625" style="51" customWidth="1"/>
    <col min="6662" max="6662" width="10.140625" style="51" customWidth="1"/>
    <col min="6663" max="6664" width="9.5703125" style="51" customWidth="1"/>
    <col min="6665" max="6665" width="6.5703125" style="51" customWidth="1"/>
    <col min="6666" max="6666" width="9.85546875" style="51" customWidth="1"/>
    <col min="6667" max="6667" width="9.42578125" style="51" customWidth="1"/>
    <col min="6668" max="6671" width="7.85546875" style="51" customWidth="1"/>
    <col min="6672" max="6672" width="9.5703125" style="51" customWidth="1"/>
    <col min="6673" max="6676" width="8.5703125" style="51" customWidth="1"/>
    <col min="6677" max="6677" width="8" style="51" customWidth="1"/>
    <col min="6678" max="6678" width="7.85546875" style="51" customWidth="1"/>
    <col min="6679" max="6679" width="12.140625" style="51" customWidth="1"/>
    <col min="6680" max="6680" width="9.28515625" style="51" bestFit="1" customWidth="1"/>
    <col min="6681" max="6681" width="10" style="51" customWidth="1"/>
    <col min="6682" max="6911" width="9" style="51"/>
    <col min="6912" max="6912" width="6.140625" style="51" customWidth="1"/>
    <col min="6913" max="6913" width="13.85546875" style="51" customWidth="1"/>
    <col min="6914" max="6914" width="6.28515625" style="51" customWidth="1"/>
    <col min="6915" max="6915" width="9.85546875" style="51" customWidth="1"/>
    <col min="6916" max="6916" width="9.140625" style="51" customWidth="1"/>
    <col min="6917" max="6917" width="9.28515625" style="51" customWidth="1"/>
    <col min="6918" max="6918" width="10.140625" style="51" customWidth="1"/>
    <col min="6919" max="6920" width="9.5703125" style="51" customWidth="1"/>
    <col min="6921" max="6921" width="6.5703125" style="51" customWidth="1"/>
    <col min="6922" max="6922" width="9.85546875" style="51" customWidth="1"/>
    <col min="6923" max="6923" width="9.42578125" style="51" customWidth="1"/>
    <col min="6924" max="6927" width="7.85546875" style="51" customWidth="1"/>
    <col min="6928" max="6928" width="9.5703125" style="51" customWidth="1"/>
    <col min="6929" max="6932" width="8.5703125" style="51" customWidth="1"/>
    <col min="6933" max="6933" width="8" style="51" customWidth="1"/>
    <col min="6934" max="6934" width="7.85546875" style="51" customWidth="1"/>
    <col min="6935" max="6935" width="12.140625" style="51" customWidth="1"/>
    <col min="6936" max="6936" width="9.28515625" style="51" bestFit="1" customWidth="1"/>
    <col min="6937" max="6937" width="10" style="51" customWidth="1"/>
    <col min="6938" max="7167" width="9" style="51"/>
    <col min="7168" max="7168" width="6.140625" style="51" customWidth="1"/>
    <col min="7169" max="7169" width="13.85546875" style="51" customWidth="1"/>
    <col min="7170" max="7170" width="6.28515625" style="51" customWidth="1"/>
    <col min="7171" max="7171" width="9.85546875" style="51" customWidth="1"/>
    <col min="7172" max="7172" width="9.140625" style="51" customWidth="1"/>
    <col min="7173" max="7173" width="9.28515625" style="51" customWidth="1"/>
    <col min="7174" max="7174" width="10.140625" style="51" customWidth="1"/>
    <col min="7175" max="7176" width="9.5703125" style="51" customWidth="1"/>
    <col min="7177" max="7177" width="6.5703125" style="51" customWidth="1"/>
    <col min="7178" max="7178" width="9.85546875" style="51" customWidth="1"/>
    <col min="7179" max="7179" width="9.42578125" style="51" customWidth="1"/>
    <col min="7180" max="7183" width="7.85546875" style="51" customWidth="1"/>
    <col min="7184" max="7184" width="9.5703125" style="51" customWidth="1"/>
    <col min="7185" max="7188" width="8.5703125" style="51" customWidth="1"/>
    <col min="7189" max="7189" width="8" style="51" customWidth="1"/>
    <col min="7190" max="7190" width="7.85546875" style="51" customWidth="1"/>
    <col min="7191" max="7191" width="12.140625" style="51" customWidth="1"/>
    <col min="7192" max="7192" width="9.28515625" style="51" bestFit="1" customWidth="1"/>
    <col min="7193" max="7193" width="10" style="51" customWidth="1"/>
    <col min="7194" max="7423" width="9" style="51"/>
    <col min="7424" max="7424" width="6.140625" style="51" customWidth="1"/>
    <col min="7425" max="7425" width="13.85546875" style="51" customWidth="1"/>
    <col min="7426" max="7426" width="6.28515625" style="51" customWidth="1"/>
    <col min="7427" max="7427" width="9.85546875" style="51" customWidth="1"/>
    <col min="7428" max="7428" width="9.140625" style="51" customWidth="1"/>
    <col min="7429" max="7429" width="9.28515625" style="51" customWidth="1"/>
    <col min="7430" max="7430" width="10.140625" style="51" customWidth="1"/>
    <col min="7431" max="7432" width="9.5703125" style="51" customWidth="1"/>
    <col min="7433" max="7433" width="6.5703125" style="51" customWidth="1"/>
    <col min="7434" max="7434" width="9.85546875" style="51" customWidth="1"/>
    <col min="7435" max="7435" width="9.42578125" style="51" customWidth="1"/>
    <col min="7436" max="7439" width="7.85546875" style="51" customWidth="1"/>
    <col min="7440" max="7440" width="9.5703125" style="51" customWidth="1"/>
    <col min="7441" max="7444" width="8.5703125" style="51" customWidth="1"/>
    <col min="7445" max="7445" width="8" style="51" customWidth="1"/>
    <col min="7446" max="7446" width="7.85546875" style="51" customWidth="1"/>
    <col min="7447" max="7447" width="12.140625" style="51" customWidth="1"/>
    <col min="7448" max="7448" width="9.28515625" style="51" bestFit="1" customWidth="1"/>
    <col min="7449" max="7449" width="10" style="51" customWidth="1"/>
    <col min="7450" max="7679" width="9" style="51"/>
    <col min="7680" max="7680" width="6.140625" style="51" customWidth="1"/>
    <col min="7681" max="7681" width="13.85546875" style="51" customWidth="1"/>
    <col min="7682" max="7682" width="6.28515625" style="51" customWidth="1"/>
    <col min="7683" max="7683" width="9.85546875" style="51" customWidth="1"/>
    <col min="7684" max="7684" width="9.140625" style="51" customWidth="1"/>
    <col min="7685" max="7685" width="9.28515625" style="51" customWidth="1"/>
    <col min="7686" max="7686" width="10.140625" style="51" customWidth="1"/>
    <col min="7687" max="7688" width="9.5703125" style="51" customWidth="1"/>
    <col min="7689" max="7689" width="6.5703125" style="51" customWidth="1"/>
    <col min="7690" max="7690" width="9.85546875" style="51" customWidth="1"/>
    <col min="7691" max="7691" width="9.42578125" style="51" customWidth="1"/>
    <col min="7692" max="7695" width="7.85546875" style="51" customWidth="1"/>
    <col min="7696" max="7696" width="9.5703125" style="51" customWidth="1"/>
    <col min="7697" max="7700" width="8.5703125" style="51" customWidth="1"/>
    <col min="7701" max="7701" width="8" style="51" customWidth="1"/>
    <col min="7702" max="7702" width="7.85546875" style="51" customWidth="1"/>
    <col min="7703" max="7703" width="12.140625" style="51" customWidth="1"/>
    <col min="7704" max="7704" width="9.28515625" style="51" bestFit="1" customWidth="1"/>
    <col min="7705" max="7705" width="10" style="51" customWidth="1"/>
    <col min="7706" max="7935" width="9" style="51"/>
    <col min="7936" max="7936" width="6.140625" style="51" customWidth="1"/>
    <col min="7937" max="7937" width="13.85546875" style="51" customWidth="1"/>
    <col min="7938" max="7938" width="6.28515625" style="51" customWidth="1"/>
    <col min="7939" max="7939" width="9.85546875" style="51" customWidth="1"/>
    <col min="7940" max="7940" width="9.140625" style="51" customWidth="1"/>
    <col min="7941" max="7941" width="9.28515625" style="51" customWidth="1"/>
    <col min="7942" max="7942" width="10.140625" style="51" customWidth="1"/>
    <col min="7943" max="7944" width="9.5703125" style="51" customWidth="1"/>
    <col min="7945" max="7945" width="6.5703125" style="51" customWidth="1"/>
    <col min="7946" max="7946" width="9.85546875" style="51" customWidth="1"/>
    <col min="7947" max="7947" width="9.42578125" style="51" customWidth="1"/>
    <col min="7948" max="7951" width="7.85546875" style="51" customWidth="1"/>
    <col min="7952" max="7952" width="9.5703125" style="51" customWidth="1"/>
    <col min="7953" max="7956" width="8.5703125" style="51" customWidth="1"/>
    <col min="7957" max="7957" width="8" style="51" customWidth="1"/>
    <col min="7958" max="7958" width="7.85546875" style="51" customWidth="1"/>
    <col min="7959" max="7959" width="12.140625" style="51" customWidth="1"/>
    <col min="7960" max="7960" width="9.28515625" style="51" bestFit="1" customWidth="1"/>
    <col min="7961" max="7961" width="10" style="51" customWidth="1"/>
    <col min="7962" max="8191" width="9" style="51"/>
    <col min="8192" max="8192" width="6.140625" style="51" customWidth="1"/>
    <col min="8193" max="8193" width="13.85546875" style="51" customWidth="1"/>
    <col min="8194" max="8194" width="6.28515625" style="51" customWidth="1"/>
    <col min="8195" max="8195" width="9.85546875" style="51" customWidth="1"/>
    <col min="8196" max="8196" width="9.140625" style="51" customWidth="1"/>
    <col min="8197" max="8197" width="9.28515625" style="51" customWidth="1"/>
    <col min="8198" max="8198" width="10.140625" style="51" customWidth="1"/>
    <col min="8199" max="8200" width="9.5703125" style="51" customWidth="1"/>
    <col min="8201" max="8201" width="6.5703125" style="51" customWidth="1"/>
    <col min="8202" max="8202" width="9.85546875" style="51" customWidth="1"/>
    <col min="8203" max="8203" width="9.42578125" style="51" customWidth="1"/>
    <col min="8204" max="8207" width="7.85546875" style="51" customWidth="1"/>
    <col min="8208" max="8208" width="9.5703125" style="51" customWidth="1"/>
    <col min="8209" max="8212" width="8.5703125" style="51" customWidth="1"/>
    <col min="8213" max="8213" width="8" style="51" customWidth="1"/>
    <col min="8214" max="8214" width="7.85546875" style="51" customWidth="1"/>
    <col min="8215" max="8215" width="12.140625" style="51" customWidth="1"/>
    <col min="8216" max="8216" width="9.28515625" style="51" bestFit="1" customWidth="1"/>
    <col min="8217" max="8217" width="10" style="51" customWidth="1"/>
    <col min="8218" max="8447" width="9" style="51"/>
    <col min="8448" max="8448" width="6.140625" style="51" customWidth="1"/>
    <col min="8449" max="8449" width="13.85546875" style="51" customWidth="1"/>
    <col min="8450" max="8450" width="6.28515625" style="51" customWidth="1"/>
    <col min="8451" max="8451" width="9.85546875" style="51" customWidth="1"/>
    <col min="8452" max="8452" width="9.140625" style="51" customWidth="1"/>
    <col min="8453" max="8453" width="9.28515625" style="51" customWidth="1"/>
    <col min="8454" max="8454" width="10.140625" style="51" customWidth="1"/>
    <col min="8455" max="8456" width="9.5703125" style="51" customWidth="1"/>
    <col min="8457" max="8457" width="6.5703125" style="51" customWidth="1"/>
    <col min="8458" max="8458" width="9.85546875" style="51" customWidth="1"/>
    <col min="8459" max="8459" width="9.42578125" style="51" customWidth="1"/>
    <col min="8460" max="8463" width="7.85546875" style="51" customWidth="1"/>
    <col min="8464" max="8464" width="9.5703125" style="51" customWidth="1"/>
    <col min="8465" max="8468" width="8.5703125" style="51" customWidth="1"/>
    <col min="8469" max="8469" width="8" style="51" customWidth="1"/>
    <col min="8470" max="8470" width="7.85546875" style="51" customWidth="1"/>
    <col min="8471" max="8471" width="12.140625" style="51" customWidth="1"/>
    <col min="8472" max="8472" width="9.28515625" style="51" bestFit="1" customWidth="1"/>
    <col min="8473" max="8473" width="10" style="51" customWidth="1"/>
    <col min="8474" max="8703" width="9" style="51"/>
    <col min="8704" max="8704" width="6.140625" style="51" customWidth="1"/>
    <col min="8705" max="8705" width="13.85546875" style="51" customWidth="1"/>
    <col min="8706" max="8706" width="6.28515625" style="51" customWidth="1"/>
    <col min="8707" max="8707" width="9.85546875" style="51" customWidth="1"/>
    <col min="8708" max="8708" width="9.140625" style="51" customWidth="1"/>
    <col min="8709" max="8709" width="9.28515625" style="51" customWidth="1"/>
    <col min="8710" max="8710" width="10.140625" style="51" customWidth="1"/>
    <col min="8711" max="8712" width="9.5703125" style="51" customWidth="1"/>
    <col min="8713" max="8713" width="6.5703125" style="51" customWidth="1"/>
    <col min="8714" max="8714" width="9.85546875" style="51" customWidth="1"/>
    <col min="8715" max="8715" width="9.42578125" style="51" customWidth="1"/>
    <col min="8716" max="8719" width="7.85546875" style="51" customWidth="1"/>
    <col min="8720" max="8720" width="9.5703125" style="51" customWidth="1"/>
    <col min="8721" max="8724" width="8.5703125" style="51" customWidth="1"/>
    <col min="8725" max="8725" width="8" style="51" customWidth="1"/>
    <col min="8726" max="8726" width="7.85546875" style="51" customWidth="1"/>
    <col min="8727" max="8727" width="12.140625" style="51" customWidth="1"/>
    <col min="8728" max="8728" width="9.28515625" style="51" bestFit="1" customWidth="1"/>
    <col min="8729" max="8729" width="10" style="51" customWidth="1"/>
    <col min="8730" max="8959" width="9" style="51"/>
    <col min="8960" max="8960" width="6.140625" style="51" customWidth="1"/>
    <col min="8961" max="8961" width="13.85546875" style="51" customWidth="1"/>
    <col min="8962" max="8962" width="6.28515625" style="51" customWidth="1"/>
    <col min="8963" max="8963" width="9.85546875" style="51" customWidth="1"/>
    <col min="8964" max="8964" width="9.140625" style="51" customWidth="1"/>
    <col min="8965" max="8965" width="9.28515625" style="51" customWidth="1"/>
    <col min="8966" max="8966" width="10.140625" style="51" customWidth="1"/>
    <col min="8967" max="8968" width="9.5703125" style="51" customWidth="1"/>
    <col min="8969" max="8969" width="6.5703125" style="51" customWidth="1"/>
    <col min="8970" max="8970" width="9.85546875" style="51" customWidth="1"/>
    <col min="8971" max="8971" width="9.42578125" style="51" customWidth="1"/>
    <col min="8972" max="8975" width="7.85546875" style="51" customWidth="1"/>
    <col min="8976" max="8976" width="9.5703125" style="51" customWidth="1"/>
    <col min="8977" max="8980" width="8.5703125" style="51" customWidth="1"/>
    <col min="8981" max="8981" width="8" style="51" customWidth="1"/>
    <col min="8982" max="8982" width="7.85546875" style="51" customWidth="1"/>
    <col min="8983" max="8983" width="12.140625" style="51" customWidth="1"/>
    <col min="8984" max="8984" width="9.28515625" style="51" bestFit="1" customWidth="1"/>
    <col min="8985" max="8985" width="10" style="51" customWidth="1"/>
    <col min="8986" max="9215" width="9" style="51"/>
    <col min="9216" max="9216" width="6.140625" style="51" customWidth="1"/>
    <col min="9217" max="9217" width="13.85546875" style="51" customWidth="1"/>
    <col min="9218" max="9218" width="6.28515625" style="51" customWidth="1"/>
    <col min="9219" max="9219" width="9.85546875" style="51" customWidth="1"/>
    <col min="9220" max="9220" width="9.140625" style="51" customWidth="1"/>
    <col min="9221" max="9221" width="9.28515625" style="51" customWidth="1"/>
    <col min="9222" max="9222" width="10.140625" style="51" customWidth="1"/>
    <col min="9223" max="9224" width="9.5703125" style="51" customWidth="1"/>
    <col min="9225" max="9225" width="6.5703125" style="51" customWidth="1"/>
    <col min="9226" max="9226" width="9.85546875" style="51" customWidth="1"/>
    <col min="9227" max="9227" width="9.42578125" style="51" customWidth="1"/>
    <col min="9228" max="9231" width="7.85546875" style="51" customWidth="1"/>
    <col min="9232" max="9232" width="9.5703125" style="51" customWidth="1"/>
    <col min="9233" max="9236" width="8.5703125" style="51" customWidth="1"/>
    <col min="9237" max="9237" width="8" style="51" customWidth="1"/>
    <col min="9238" max="9238" width="7.85546875" style="51" customWidth="1"/>
    <col min="9239" max="9239" width="12.140625" style="51" customWidth="1"/>
    <col min="9240" max="9240" width="9.28515625" style="51" bestFit="1" customWidth="1"/>
    <col min="9241" max="9241" width="10" style="51" customWidth="1"/>
    <col min="9242" max="9471" width="9" style="51"/>
    <col min="9472" max="9472" width="6.140625" style="51" customWidth="1"/>
    <col min="9473" max="9473" width="13.85546875" style="51" customWidth="1"/>
    <col min="9474" max="9474" width="6.28515625" style="51" customWidth="1"/>
    <col min="9475" max="9475" width="9.85546875" style="51" customWidth="1"/>
    <col min="9476" max="9476" width="9.140625" style="51" customWidth="1"/>
    <col min="9477" max="9477" width="9.28515625" style="51" customWidth="1"/>
    <col min="9478" max="9478" width="10.140625" style="51" customWidth="1"/>
    <col min="9479" max="9480" width="9.5703125" style="51" customWidth="1"/>
    <col min="9481" max="9481" width="6.5703125" style="51" customWidth="1"/>
    <col min="9482" max="9482" width="9.85546875" style="51" customWidth="1"/>
    <col min="9483" max="9483" width="9.42578125" style="51" customWidth="1"/>
    <col min="9484" max="9487" width="7.85546875" style="51" customWidth="1"/>
    <col min="9488" max="9488" width="9.5703125" style="51" customWidth="1"/>
    <col min="9489" max="9492" width="8.5703125" style="51" customWidth="1"/>
    <col min="9493" max="9493" width="8" style="51" customWidth="1"/>
    <col min="9494" max="9494" width="7.85546875" style="51" customWidth="1"/>
    <col min="9495" max="9495" width="12.140625" style="51" customWidth="1"/>
    <col min="9496" max="9496" width="9.28515625" style="51" bestFit="1" customWidth="1"/>
    <col min="9497" max="9497" width="10" style="51" customWidth="1"/>
    <col min="9498" max="9727" width="9" style="51"/>
    <col min="9728" max="9728" width="6.140625" style="51" customWidth="1"/>
    <col min="9729" max="9729" width="13.85546875" style="51" customWidth="1"/>
    <col min="9730" max="9730" width="6.28515625" style="51" customWidth="1"/>
    <col min="9731" max="9731" width="9.85546875" style="51" customWidth="1"/>
    <col min="9732" max="9732" width="9.140625" style="51" customWidth="1"/>
    <col min="9733" max="9733" width="9.28515625" style="51" customWidth="1"/>
    <col min="9734" max="9734" width="10.140625" style="51" customWidth="1"/>
    <col min="9735" max="9736" width="9.5703125" style="51" customWidth="1"/>
    <col min="9737" max="9737" width="6.5703125" style="51" customWidth="1"/>
    <col min="9738" max="9738" width="9.85546875" style="51" customWidth="1"/>
    <col min="9739" max="9739" width="9.42578125" style="51" customWidth="1"/>
    <col min="9740" max="9743" width="7.85546875" style="51" customWidth="1"/>
    <col min="9744" max="9744" width="9.5703125" style="51" customWidth="1"/>
    <col min="9745" max="9748" width="8.5703125" style="51" customWidth="1"/>
    <col min="9749" max="9749" width="8" style="51" customWidth="1"/>
    <col min="9750" max="9750" width="7.85546875" style="51" customWidth="1"/>
    <col min="9751" max="9751" width="12.140625" style="51" customWidth="1"/>
    <col min="9752" max="9752" width="9.28515625" style="51" bestFit="1" customWidth="1"/>
    <col min="9753" max="9753" width="10" style="51" customWidth="1"/>
    <col min="9754" max="9983" width="9" style="51"/>
    <col min="9984" max="9984" width="6.140625" style="51" customWidth="1"/>
    <col min="9985" max="9985" width="13.85546875" style="51" customWidth="1"/>
    <col min="9986" max="9986" width="6.28515625" style="51" customWidth="1"/>
    <col min="9987" max="9987" width="9.85546875" style="51" customWidth="1"/>
    <col min="9988" max="9988" width="9.140625" style="51" customWidth="1"/>
    <col min="9989" max="9989" width="9.28515625" style="51" customWidth="1"/>
    <col min="9990" max="9990" width="10.140625" style="51" customWidth="1"/>
    <col min="9991" max="9992" width="9.5703125" style="51" customWidth="1"/>
    <col min="9993" max="9993" width="6.5703125" style="51" customWidth="1"/>
    <col min="9994" max="9994" width="9.85546875" style="51" customWidth="1"/>
    <col min="9995" max="9995" width="9.42578125" style="51" customWidth="1"/>
    <col min="9996" max="9999" width="7.85546875" style="51" customWidth="1"/>
    <col min="10000" max="10000" width="9.5703125" style="51" customWidth="1"/>
    <col min="10001" max="10004" width="8.5703125" style="51" customWidth="1"/>
    <col min="10005" max="10005" width="8" style="51" customWidth="1"/>
    <col min="10006" max="10006" width="7.85546875" style="51" customWidth="1"/>
    <col min="10007" max="10007" width="12.140625" style="51" customWidth="1"/>
    <col min="10008" max="10008" width="9.28515625" style="51" bestFit="1" customWidth="1"/>
    <col min="10009" max="10009" width="10" style="51" customWidth="1"/>
    <col min="10010" max="10239" width="9" style="51"/>
    <col min="10240" max="10240" width="6.140625" style="51" customWidth="1"/>
    <col min="10241" max="10241" width="13.85546875" style="51" customWidth="1"/>
    <col min="10242" max="10242" width="6.28515625" style="51" customWidth="1"/>
    <col min="10243" max="10243" width="9.85546875" style="51" customWidth="1"/>
    <col min="10244" max="10244" width="9.140625" style="51" customWidth="1"/>
    <col min="10245" max="10245" width="9.28515625" style="51" customWidth="1"/>
    <col min="10246" max="10246" width="10.140625" style="51" customWidth="1"/>
    <col min="10247" max="10248" width="9.5703125" style="51" customWidth="1"/>
    <col min="10249" max="10249" width="6.5703125" style="51" customWidth="1"/>
    <col min="10250" max="10250" width="9.85546875" style="51" customWidth="1"/>
    <col min="10251" max="10251" width="9.42578125" style="51" customWidth="1"/>
    <col min="10252" max="10255" width="7.85546875" style="51" customWidth="1"/>
    <col min="10256" max="10256" width="9.5703125" style="51" customWidth="1"/>
    <col min="10257" max="10260" width="8.5703125" style="51" customWidth="1"/>
    <col min="10261" max="10261" width="8" style="51" customWidth="1"/>
    <col min="10262" max="10262" width="7.85546875" style="51" customWidth="1"/>
    <col min="10263" max="10263" width="12.140625" style="51" customWidth="1"/>
    <col min="10264" max="10264" width="9.28515625" style="51" bestFit="1" customWidth="1"/>
    <col min="10265" max="10265" width="10" style="51" customWidth="1"/>
    <col min="10266" max="10495" width="9" style="51"/>
    <col min="10496" max="10496" width="6.140625" style="51" customWidth="1"/>
    <col min="10497" max="10497" width="13.85546875" style="51" customWidth="1"/>
    <col min="10498" max="10498" width="6.28515625" style="51" customWidth="1"/>
    <col min="10499" max="10499" width="9.85546875" style="51" customWidth="1"/>
    <col min="10500" max="10500" width="9.140625" style="51" customWidth="1"/>
    <col min="10501" max="10501" width="9.28515625" style="51" customWidth="1"/>
    <col min="10502" max="10502" width="10.140625" style="51" customWidth="1"/>
    <col min="10503" max="10504" width="9.5703125" style="51" customWidth="1"/>
    <col min="10505" max="10505" width="6.5703125" style="51" customWidth="1"/>
    <col min="10506" max="10506" width="9.85546875" style="51" customWidth="1"/>
    <col min="10507" max="10507" width="9.42578125" style="51" customWidth="1"/>
    <col min="10508" max="10511" width="7.85546875" style="51" customWidth="1"/>
    <col min="10512" max="10512" width="9.5703125" style="51" customWidth="1"/>
    <col min="10513" max="10516" width="8.5703125" style="51" customWidth="1"/>
    <col min="10517" max="10517" width="8" style="51" customWidth="1"/>
    <col min="10518" max="10518" width="7.85546875" style="51" customWidth="1"/>
    <col min="10519" max="10519" width="12.140625" style="51" customWidth="1"/>
    <col min="10520" max="10520" width="9.28515625" style="51" bestFit="1" customWidth="1"/>
    <col min="10521" max="10521" width="10" style="51" customWidth="1"/>
    <col min="10522" max="10751" width="9" style="51"/>
    <col min="10752" max="10752" width="6.140625" style="51" customWidth="1"/>
    <col min="10753" max="10753" width="13.85546875" style="51" customWidth="1"/>
    <col min="10754" max="10754" width="6.28515625" style="51" customWidth="1"/>
    <col min="10755" max="10755" width="9.85546875" style="51" customWidth="1"/>
    <col min="10756" max="10756" width="9.140625" style="51" customWidth="1"/>
    <col min="10757" max="10757" width="9.28515625" style="51" customWidth="1"/>
    <col min="10758" max="10758" width="10.140625" style="51" customWidth="1"/>
    <col min="10759" max="10760" width="9.5703125" style="51" customWidth="1"/>
    <col min="10761" max="10761" width="6.5703125" style="51" customWidth="1"/>
    <col min="10762" max="10762" width="9.85546875" style="51" customWidth="1"/>
    <col min="10763" max="10763" width="9.42578125" style="51" customWidth="1"/>
    <col min="10764" max="10767" width="7.85546875" style="51" customWidth="1"/>
    <col min="10768" max="10768" width="9.5703125" style="51" customWidth="1"/>
    <col min="10769" max="10772" width="8.5703125" style="51" customWidth="1"/>
    <col min="10773" max="10773" width="8" style="51" customWidth="1"/>
    <col min="10774" max="10774" width="7.85546875" style="51" customWidth="1"/>
    <col min="10775" max="10775" width="12.140625" style="51" customWidth="1"/>
    <col min="10776" max="10776" width="9.28515625" style="51" bestFit="1" customWidth="1"/>
    <col min="10777" max="10777" width="10" style="51" customWidth="1"/>
    <col min="10778" max="11007" width="9" style="51"/>
    <col min="11008" max="11008" width="6.140625" style="51" customWidth="1"/>
    <col min="11009" max="11009" width="13.85546875" style="51" customWidth="1"/>
    <col min="11010" max="11010" width="6.28515625" style="51" customWidth="1"/>
    <col min="11011" max="11011" width="9.85546875" style="51" customWidth="1"/>
    <col min="11012" max="11012" width="9.140625" style="51" customWidth="1"/>
    <col min="11013" max="11013" width="9.28515625" style="51" customWidth="1"/>
    <col min="11014" max="11014" width="10.140625" style="51" customWidth="1"/>
    <col min="11015" max="11016" width="9.5703125" style="51" customWidth="1"/>
    <col min="11017" max="11017" width="6.5703125" style="51" customWidth="1"/>
    <col min="11018" max="11018" width="9.85546875" style="51" customWidth="1"/>
    <col min="11019" max="11019" width="9.42578125" style="51" customWidth="1"/>
    <col min="11020" max="11023" width="7.85546875" style="51" customWidth="1"/>
    <col min="11024" max="11024" width="9.5703125" style="51" customWidth="1"/>
    <col min="11025" max="11028" width="8.5703125" style="51" customWidth="1"/>
    <col min="11029" max="11029" width="8" style="51" customWidth="1"/>
    <col min="11030" max="11030" width="7.85546875" style="51" customWidth="1"/>
    <col min="11031" max="11031" width="12.140625" style="51" customWidth="1"/>
    <col min="11032" max="11032" width="9.28515625" style="51" bestFit="1" customWidth="1"/>
    <col min="11033" max="11033" width="10" style="51" customWidth="1"/>
    <col min="11034" max="11263" width="9" style="51"/>
    <col min="11264" max="11264" width="6.140625" style="51" customWidth="1"/>
    <col min="11265" max="11265" width="13.85546875" style="51" customWidth="1"/>
    <col min="11266" max="11266" width="6.28515625" style="51" customWidth="1"/>
    <col min="11267" max="11267" width="9.85546875" style="51" customWidth="1"/>
    <col min="11268" max="11268" width="9.140625" style="51" customWidth="1"/>
    <col min="11269" max="11269" width="9.28515625" style="51" customWidth="1"/>
    <col min="11270" max="11270" width="10.140625" style="51" customWidth="1"/>
    <col min="11271" max="11272" width="9.5703125" style="51" customWidth="1"/>
    <col min="11273" max="11273" width="6.5703125" style="51" customWidth="1"/>
    <col min="11274" max="11274" width="9.85546875" style="51" customWidth="1"/>
    <col min="11275" max="11275" width="9.42578125" style="51" customWidth="1"/>
    <col min="11276" max="11279" width="7.85546875" style="51" customWidth="1"/>
    <col min="11280" max="11280" width="9.5703125" style="51" customWidth="1"/>
    <col min="11281" max="11284" width="8.5703125" style="51" customWidth="1"/>
    <col min="11285" max="11285" width="8" style="51" customWidth="1"/>
    <col min="11286" max="11286" width="7.85546875" style="51" customWidth="1"/>
    <col min="11287" max="11287" width="12.140625" style="51" customWidth="1"/>
    <col min="11288" max="11288" width="9.28515625" style="51" bestFit="1" customWidth="1"/>
    <col min="11289" max="11289" width="10" style="51" customWidth="1"/>
    <col min="11290" max="11519" width="9" style="51"/>
    <col min="11520" max="11520" width="6.140625" style="51" customWidth="1"/>
    <col min="11521" max="11521" width="13.85546875" style="51" customWidth="1"/>
    <col min="11522" max="11522" width="6.28515625" style="51" customWidth="1"/>
    <col min="11523" max="11523" width="9.85546875" style="51" customWidth="1"/>
    <col min="11524" max="11524" width="9.140625" style="51" customWidth="1"/>
    <col min="11525" max="11525" width="9.28515625" style="51" customWidth="1"/>
    <col min="11526" max="11526" width="10.140625" style="51" customWidth="1"/>
    <col min="11527" max="11528" width="9.5703125" style="51" customWidth="1"/>
    <col min="11529" max="11529" width="6.5703125" style="51" customWidth="1"/>
    <col min="11530" max="11530" width="9.85546875" style="51" customWidth="1"/>
    <col min="11531" max="11531" width="9.42578125" style="51" customWidth="1"/>
    <col min="11532" max="11535" width="7.85546875" style="51" customWidth="1"/>
    <col min="11536" max="11536" width="9.5703125" style="51" customWidth="1"/>
    <col min="11537" max="11540" width="8.5703125" style="51" customWidth="1"/>
    <col min="11541" max="11541" width="8" style="51" customWidth="1"/>
    <col min="11542" max="11542" width="7.85546875" style="51" customWidth="1"/>
    <col min="11543" max="11543" width="12.140625" style="51" customWidth="1"/>
    <col min="11544" max="11544" width="9.28515625" style="51" bestFit="1" customWidth="1"/>
    <col min="11545" max="11545" width="10" style="51" customWidth="1"/>
    <col min="11546" max="11775" width="9" style="51"/>
    <col min="11776" max="11776" width="6.140625" style="51" customWidth="1"/>
    <col min="11777" max="11777" width="13.85546875" style="51" customWidth="1"/>
    <col min="11778" max="11778" width="6.28515625" style="51" customWidth="1"/>
    <col min="11779" max="11779" width="9.85546875" style="51" customWidth="1"/>
    <col min="11780" max="11780" width="9.140625" style="51" customWidth="1"/>
    <col min="11781" max="11781" width="9.28515625" style="51" customWidth="1"/>
    <col min="11782" max="11782" width="10.140625" style="51" customWidth="1"/>
    <col min="11783" max="11784" width="9.5703125" style="51" customWidth="1"/>
    <col min="11785" max="11785" width="6.5703125" style="51" customWidth="1"/>
    <col min="11786" max="11786" width="9.85546875" style="51" customWidth="1"/>
    <col min="11787" max="11787" width="9.42578125" style="51" customWidth="1"/>
    <col min="11788" max="11791" width="7.85546875" style="51" customWidth="1"/>
    <col min="11792" max="11792" width="9.5703125" style="51" customWidth="1"/>
    <col min="11793" max="11796" width="8.5703125" style="51" customWidth="1"/>
    <col min="11797" max="11797" width="8" style="51" customWidth="1"/>
    <col min="11798" max="11798" width="7.85546875" style="51" customWidth="1"/>
    <col min="11799" max="11799" width="12.140625" style="51" customWidth="1"/>
    <col min="11800" max="11800" width="9.28515625" style="51" bestFit="1" customWidth="1"/>
    <col min="11801" max="11801" width="10" style="51" customWidth="1"/>
    <col min="11802" max="12031" width="9" style="51"/>
    <col min="12032" max="12032" width="6.140625" style="51" customWidth="1"/>
    <col min="12033" max="12033" width="13.85546875" style="51" customWidth="1"/>
    <col min="12034" max="12034" width="6.28515625" style="51" customWidth="1"/>
    <col min="12035" max="12035" width="9.85546875" style="51" customWidth="1"/>
    <col min="12036" max="12036" width="9.140625" style="51" customWidth="1"/>
    <col min="12037" max="12037" width="9.28515625" style="51" customWidth="1"/>
    <col min="12038" max="12038" width="10.140625" style="51" customWidth="1"/>
    <col min="12039" max="12040" width="9.5703125" style="51" customWidth="1"/>
    <col min="12041" max="12041" width="6.5703125" style="51" customWidth="1"/>
    <col min="12042" max="12042" width="9.85546875" style="51" customWidth="1"/>
    <col min="12043" max="12043" width="9.42578125" style="51" customWidth="1"/>
    <col min="12044" max="12047" width="7.85546875" style="51" customWidth="1"/>
    <col min="12048" max="12048" width="9.5703125" style="51" customWidth="1"/>
    <col min="12049" max="12052" width="8.5703125" style="51" customWidth="1"/>
    <col min="12053" max="12053" width="8" style="51" customWidth="1"/>
    <col min="12054" max="12054" width="7.85546875" style="51" customWidth="1"/>
    <col min="12055" max="12055" width="12.140625" style="51" customWidth="1"/>
    <col min="12056" max="12056" width="9.28515625" style="51" bestFit="1" customWidth="1"/>
    <col min="12057" max="12057" width="10" style="51" customWidth="1"/>
    <col min="12058" max="12287" width="9" style="51"/>
    <col min="12288" max="12288" width="6.140625" style="51" customWidth="1"/>
    <col min="12289" max="12289" width="13.85546875" style="51" customWidth="1"/>
    <col min="12290" max="12290" width="6.28515625" style="51" customWidth="1"/>
    <col min="12291" max="12291" width="9.85546875" style="51" customWidth="1"/>
    <col min="12292" max="12292" width="9.140625" style="51" customWidth="1"/>
    <col min="12293" max="12293" width="9.28515625" style="51" customWidth="1"/>
    <col min="12294" max="12294" width="10.140625" style="51" customWidth="1"/>
    <col min="12295" max="12296" width="9.5703125" style="51" customWidth="1"/>
    <col min="12297" max="12297" width="6.5703125" style="51" customWidth="1"/>
    <col min="12298" max="12298" width="9.85546875" style="51" customWidth="1"/>
    <col min="12299" max="12299" width="9.42578125" style="51" customWidth="1"/>
    <col min="12300" max="12303" width="7.85546875" style="51" customWidth="1"/>
    <col min="12304" max="12304" width="9.5703125" style="51" customWidth="1"/>
    <col min="12305" max="12308" width="8.5703125" style="51" customWidth="1"/>
    <col min="12309" max="12309" width="8" style="51" customWidth="1"/>
    <col min="12310" max="12310" width="7.85546875" style="51" customWidth="1"/>
    <col min="12311" max="12311" width="12.140625" style="51" customWidth="1"/>
    <col min="12312" max="12312" width="9.28515625" style="51" bestFit="1" customWidth="1"/>
    <col min="12313" max="12313" width="10" style="51" customWidth="1"/>
    <col min="12314" max="12543" width="9" style="51"/>
    <col min="12544" max="12544" width="6.140625" style="51" customWidth="1"/>
    <col min="12545" max="12545" width="13.85546875" style="51" customWidth="1"/>
    <col min="12546" max="12546" width="6.28515625" style="51" customWidth="1"/>
    <col min="12547" max="12547" width="9.85546875" style="51" customWidth="1"/>
    <col min="12548" max="12548" width="9.140625" style="51" customWidth="1"/>
    <col min="12549" max="12549" width="9.28515625" style="51" customWidth="1"/>
    <col min="12550" max="12550" width="10.140625" style="51" customWidth="1"/>
    <col min="12551" max="12552" width="9.5703125" style="51" customWidth="1"/>
    <col min="12553" max="12553" width="6.5703125" style="51" customWidth="1"/>
    <col min="12554" max="12554" width="9.85546875" style="51" customWidth="1"/>
    <col min="12555" max="12555" width="9.42578125" style="51" customWidth="1"/>
    <col min="12556" max="12559" width="7.85546875" style="51" customWidth="1"/>
    <col min="12560" max="12560" width="9.5703125" style="51" customWidth="1"/>
    <col min="12561" max="12564" width="8.5703125" style="51" customWidth="1"/>
    <col min="12565" max="12565" width="8" style="51" customWidth="1"/>
    <col min="12566" max="12566" width="7.85546875" style="51" customWidth="1"/>
    <col min="12567" max="12567" width="12.140625" style="51" customWidth="1"/>
    <col min="12568" max="12568" width="9.28515625" style="51" bestFit="1" customWidth="1"/>
    <col min="12569" max="12569" width="10" style="51" customWidth="1"/>
    <col min="12570" max="12799" width="9" style="51"/>
    <col min="12800" max="12800" width="6.140625" style="51" customWidth="1"/>
    <col min="12801" max="12801" width="13.85546875" style="51" customWidth="1"/>
    <col min="12802" max="12802" width="6.28515625" style="51" customWidth="1"/>
    <col min="12803" max="12803" width="9.85546875" style="51" customWidth="1"/>
    <col min="12804" max="12804" width="9.140625" style="51" customWidth="1"/>
    <col min="12805" max="12805" width="9.28515625" style="51" customWidth="1"/>
    <col min="12806" max="12806" width="10.140625" style="51" customWidth="1"/>
    <col min="12807" max="12808" width="9.5703125" style="51" customWidth="1"/>
    <col min="12809" max="12809" width="6.5703125" style="51" customWidth="1"/>
    <col min="12810" max="12810" width="9.85546875" style="51" customWidth="1"/>
    <col min="12811" max="12811" width="9.42578125" style="51" customWidth="1"/>
    <col min="12812" max="12815" width="7.85546875" style="51" customWidth="1"/>
    <col min="12816" max="12816" width="9.5703125" style="51" customWidth="1"/>
    <col min="12817" max="12820" width="8.5703125" style="51" customWidth="1"/>
    <col min="12821" max="12821" width="8" style="51" customWidth="1"/>
    <col min="12822" max="12822" width="7.85546875" style="51" customWidth="1"/>
    <col min="12823" max="12823" width="12.140625" style="51" customWidth="1"/>
    <col min="12824" max="12824" width="9.28515625" style="51" bestFit="1" customWidth="1"/>
    <col min="12825" max="12825" width="10" style="51" customWidth="1"/>
    <col min="12826" max="13055" width="9" style="51"/>
    <col min="13056" max="13056" width="6.140625" style="51" customWidth="1"/>
    <col min="13057" max="13057" width="13.85546875" style="51" customWidth="1"/>
    <col min="13058" max="13058" width="6.28515625" style="51" customWidth="1"/>
    <col min="13059" max="13059" width="9.85546875" style="51" customWidth="1"/>
    <col min="13060" max="13060" width="9.140625" style="51" customWidth="1"/>
    <col min="13061" max="13061" width="9.28515625" style="51" customWidth="1"/>
    <col min="13062" max="13062" width="10.140625" style="51" customWidth="1"/>
    <col min="13063" max="13064" width="9.5703125" style="51" customWidth="1"/>
    <col min="13065" max="13065" width="6.5703125" style="51" customWidth="1"/>
    <col min="13066" max="13066" width="9.85546875" style="51" customWidth="1"/>
    <col min="13067" max="13067" width="9.42578125" style="51" customWidth="1"/>
    <col min="13068" max="13071" width="7.85546875" style="51" customWidth="1"/>
    <col min="13072" max="13072" width="9.5703125" style="51" customWidth="1"/>
    <col min="13073" max="13076" width="8.5703125" style="51" customWidth="1"/>
    <col min="13077" max="13077" width="8" style="51" customWidth="1"/>
    <col min="13078" max="13078" width="7.85546875" style="51" customWidth="1"/>
    <col min="13079" max="13079" width="12.140625" style="51" customWidth="1"/>
    <col min="13080" max="13080" width="9.28515625" style="51" bestFit="1" customWidth="1"/>
    <col min="13081" max="13081" width="10" style="51" customWidth="1"/>
    <col min="13082" max="13311" width="9" style="51"/>
    <col min="13312" max="13312" width="6.140625" style="51" customWidth="1"/>
    <col min="13313" max="13313" width="13.85546875" style="51" customWidth="1"/>
    <col min="13314" max="13314" width="6.28515625" style="51" customWidth="1"/>
    <col min="13315" max="13315" width="9.85546875" style="51" customWidth="1"/>
    <col min="13316" max="13316" width="9.140625" style="51" customWidth="1"/>
    <col min="13317" max="13317" width="9.28515625" style="51" customWidth="1"/>
    <col min="13318" max="13318" width="10.140625" style="51" customWidth="1"/>
    <col min="13319" max="13320" width="9.5703125" style="51" customWidth="1"/>
    <col min="13321" max="13321" width="6.5703125" style="51" customWidth="1"/>
    <col min="13322" max="13322" width="9.85546875" style="51" customWidth="1"/>
    <col min="13323" max="13323" width="9.42578125" style="51" customWidth="1"/>
    <col min="13324" max="13327" width="7.85546875" style="51" customWidth="1"/>
    <col min="13328" max="13328" width="9.5703125" style="51" customWidth="1"/>
    <col min="13329" max="13332" width="8.5703125" style="51" customWidth="1"/>
    <col min="13333" max="13333" width="8" style="51" customWidth="1"/>
    <col min="13334" max="13334" width="7.85546875" style="51" customWidth="1"/>
    <col min="13335" max="13335" width="12.140625" style="51" customWidth="1"/>
    <col min="13336" max="13336" width="9.28515625" style="51" bestFit="1" customWidth="1"/>
    <col min="13337" max="13337" width="10" style="51" customWidth="1"/>
    <col min="13338" max="13567" width="9" style="51"/>
    <col min="13568" max="13568" width="6.140625" style="51" customWidth="1"/>
    <col min="13569" max="13569" width="13.85546875" style="51" customWidth="1"/>
    <col min="13570" max="13570" width="6.28515625" style="51" customWidth="1"/>
    <col min="13571" max="13571" width="9.85546875" style="51" customWidth="1"/>
    <col min="13572" max="13572" width="9.140625" style="51" customWidth="1"/>
    <col min="13573" max="13573" width="9.28515625" style="51" customWidth="1"/>
    <col min="13574" max="13574" width="10.140625" style="51" customWidth="1"/>
    <col min="13575" max="13576" width="9.5703125" style="51" customWidth="1"/>
    <col min="13577" max="13577" width="6.5703125" style="51" customWidth="1"/>
    <col min="13578" max="13578" width="9.85546875" style="51" customWidth="1"/>
    <col min="13579" max="13579" width="9.42578125" style="51" customWidth="1"/>
    <col min="13580" max="13583" width="7.85546875" style="51" customWidth="1"/>
    <col min="13584" max="13584" width="9.5703125" style="51" customWidth="1"/>
    <col min="13585" max="13588" width="8.5703125" style="51" customWidth="1"/>
    <col min="13589" max="13589" width="8" style="51" customWidth="1"/>
    <col min="13590" max="13590" width="7.85546875" style="51" customWidth="1"/>
    <col min="13591" max="13591" width="12.140625" style="51" customWidth="1"/>
    <col min="13592" max="13592" width="9.28515625" style="51" bestFit="1" customWidth="1"/>
    <col min="13593" max="13593" width="10" style="51" customWidth="1"/>
    <col min="13594" max="13823" width="9" style="51"/>
    <col min="13824" max="13824" width="6.140625" style="51" customWidth="1"/>
    <col min="13825" max="13825" width="13.85546875" style="51" customWidth="1"/>
    <col min="13826" max="13826" width="6.28515625" style="51" customWidth="1"/>
    <col min="13827" max="13827" width="9.85546875" style="51" customWidth="1"/>
    <col min="13828" max="13828" width="9.140625" style="51" customWidth="1"/>
    <col min="13829" max="13829" width="9.28515625" style="51" customWidth="1"/>
    <col min="13830" max="13830" width="10.140625" style="51" customWidth="1"/>
    <col min="13831" max="13832" width="9.5703125" style="51" customWidth="1"/>
    <col min="13833" max="13833" width="6.5703125" style="51" customWidth="1"/>
    <col min="13834" max="13834" width="9.85546875" style="51" customWidth="1"/>
    <col min="13835" max="13835" width="9.42578125" style="51" customWidth="1"/>
    <col min="13836" max="13839" width="7.85546875" style="51" customWidth="1"/>
    <col min="13840" max="13840" width="9.5703125" style="51" customWidth="1"/>
    <col min="13841" max="13844" width="8.5703125" style="51" customWidth="1"/>
    <col min="13845" max="13845" width="8" style="51" customWidth="1"/>
    <col min="13846" max="13846" width="7.85546875" style="51" customWidth="1"/>
    <col min="13847" max="13847" width="12.140625" style="51" customWidth="1"/>
    <col min="13848" max="13848" width="9.28515625" style="51" bestFit="1" customWidth="1"/>
    <col min="13849" max="13849" width="10" style="51" customWidth="1"/>
    <col min="13850" max="14079" width="9" style="51"/>
    <col min="14080" max="14080" width="6.140625" style="51" customWidth="1"/>
    <col min="14081" max="14081" width="13.85546875" style="51" customWidth="1"/>
    <col min="14082" max="14082" width="6.28515625" style="51" customWidth="1"/>
    <col min="14083" max="14083" width="9.85546875" style="51" customWidth="1"/>
    <col min="14084" max="14084" width="9.140625" style="51" customWidth="1"/>
    <col min="14085" max="14085" width="9.28515625" style="51" customWidth="1"/>
    <col min="14086" max="14086" width="10.140625" style="51" customWidth="1"/>
    <col min="14087" max="14088" width="9.5703125" style="51" customWidth="1"/>
    <col min="14089" max="14089" width="6.5703125" style="51" customWidth="1"/>
    <col min="14090" max="14090" width="9.85546875" style="51" customWidth="1"/>
    <col min="14091" max="14091" width="9.42578125" style="51" customWidth="1"/>
    <col min="14092" max="14095" width="7.85546875" style="51" customWidth="1"/>
    <col min="14096" max="14096" width="9.5703125" style="51" customWidth="1"/>
    <col min="14097" max="14100" width="8.5703125" style="51" customWidth="1"/>
    <col min="14101" max="14101" width="8" style="51" customWidth="1"/>
    <col min="14102" max="14102" width="7.85546875" style="51" customWidth="1"/>
    <col min="14103" max="14103" width="12.140625" style="51" customWidth="1"/>
    <col min="14104" max="14104" width="9.28515625" style="51" bestFit="1" customWidth="1"/>
    <col min="14105" max="14105" width="10" style="51" customWidth="1"/>
    <col min="14106" max="14335" width="9" style="51"/>
    <col min="14336" max="14336" width="6.140625" style="51" customWidth="1"/>
    <col min="14337" max="14337" width="13.85546875" style="51" customWidth="1"/>
    <col min="14338" max="14338" width="6.28515625" style="51" customWidth="1"/>
    <col min="14339" max="14339" width="9.85546875" style="51" customWidth="1"/>
    <col min="14340" max="14340" width="9.140625" style="51" customWidth="1"/>
    <col min="14341" max="14341" width="9.28515625" style="51" customWidth="1"/>
    <col min="14342" max="14342" width="10.140625" style="51" customWidth="1"/>
    <col min="14343" max="14344" width="9.5703125" style="51" customWidth="1"/>
    <col min="14345" max="14345" width="6.5703125" style="51" customWidth="1"/>
    <col min="14346" max="14346" width="9.85546875" style="51" customWidth="1"/>
    <col min="14347" max="14347" width="9.42578125" style="51" customWidth="1"/>
    <col min="14348" max="14351" width="7.85546875" style="51" customWidth="1"/>
    <col min="14352" max="14352" width="9.5703125" style="51" customWidth="1"/>
    <col min="14353" max="14356" width="8.5703125" style="51" customWidth="1"/>
    <col min="14357" max="14357" width="8" style="51" customWidth="1"/>
    <col min="14358" max="14358" width="7.85546875" style="51" customWidth="1"/>
    <col min="14359" max="14359" width="12.140625" style="51" customWidth="1"/>
    <col min="14360" max="14360" width="9.28515625" style="51" bestFit="1" customWidth="1"/>
    <col min="14361" max="14361" width="10" style="51" customWidth="1"/>
    <col min="14362" max="14591" width="9" style="51"/>
    <col min="14592" max="14592" width="6.140625" style="51" customWidth="1"/>
    <col min="14593" max="14593" width="13.85546875" style="51" customWidth="1"/>
    <col min="14594" max="14594" width="6.28515625" style="51" customWidth="1"/>
    <col min="14595" max="14595" width="9.85546875" style="51" customWidth="1"/>
    <col min="14596" max="14596" width="9.140625" style="51" customWidth="1"/>
    <col min="14597" max="14597" width="9.28515625" style="51" customWidth="1"/>
    <col min="14598" max="14598" width="10.140625" style="51" customWidth="1"/>
    <col min="14599" max="14600" width="9.5703125" style="51" customWidth="1"/>
    <col min="14601" max="14601" width="6.5703125" style="51" customWidth="1"/>
    <col min="14602" max="14602" width="9.85546875" style="51" customWidth="1"/>
    <col min="14603" max="14603" width="9.42578125" style="51" customWidth="1"/>
    <col min="14604" max="14607" width="7.85546875" style="51" customWidth="1"/>
    <col min="14608" max="14608" width="9.5703125" style="51" customWidth="1"/>
    <col min="14609" max="14612" width="8.5703125" style="51" customWidth="1"/>
    <col min="14613" max="14613" width="8" style="51" customWidth="1"/>
    <col min="14614" max="14614" width="7.85546875" style="51" customWidth="1"/>
    <col min="14615" max="14615" width="12.140625" style="51" customWidth="1"/>
    <col min="14616" max="14616" width="9.28515625" style="51" bestFit="1" customWidth="1"/>
    <col min="14617" max="14617" width="10" style="51" customWidth="1"/>
    <col min="14618" max="14847" width="9" style="51"/>
    <col min="14848" max="14848" width="6.140625" style="51" customWidth="1"/>
    <col min="14849" max="14849" width="13.85546875" style="51" customWidth="1"/>
    <col min="14850" max="14850" width="6.28515625" style="51" customWidth="1"/>
    <col min="14851" max="14851" width="9.85546875" style="51" customWidth="1"/>
    <col min="14852" max="14852" width="9.140625" style="51" customWidth="1"/>
    <col min="14853" max="14853" width="9.28515625" style="51" customWidth="1"/>
    <col min="14854" max="14854" width="10.140625" style="51" customWidth="1"/>
    <col min="14855" max="14856" width="9.5703125" style="51" customWidth="1"/>
    <col min="14857" max="14857" width="6.5703125" style="51" customWidth="1"/>
    <col min="14858" max="14858" width="9.85546875" style="51" customWidth="1"/>
    <col min="14859" max="14859" width="9.42578125" style="51" customWidth="1"/>
    <col min="14860" max="14863" width="7.85546875" style="51" customWidth="1"/>
    <col min="14864" max="14864" width="9.5703125" style="51" customWidth="1"/>
    <col min="14865" max="14868" width="8.5703125" style="51" customWidth="1"/>
    <col min="14869" max="14869" width="8" style="51" customWidth="1"/>
    <col min="14870" max="14870" width="7.85546875" style="51" customWidth="1"/>
    <col min="14871" max="14871" width="12.140625" style="51" customWidth="1"/>
    <col min="14872" max="14872" width="9.28515625" style="51" bestFit="1" customWidth="1"/>
    <col min="14873" max="14873" width="10" style="51" customWidth="1"/>
    <col min="14874" max="15103" width="9" style="51"/>
    <col min="15104" max="15104" width="6.140625" style="51" customWidth="1"/>
    <col min="15105" max="15105" width="13.85546875" style="51" customWidth="1"/>
    <col min="15106" max="15106" width="6.28515625" style="51" customWidth="1"/>
    <col min="15107" max="15107" width="9.85546875" style="51" customWidth="1"/>
    <col min="15108" max="15108" width="9.140625" style="51" customWidth="1"/>
    <col min="15109" max="15109" width="9.28515625" style="51" customWidth="1"/>
    <col min="15110" max="15110" width="10.140625" style="51" customWidth="1"/>
    <col min="15111" max="15112" width="9.5703125" style="51" customWidth="1"/>
    <col min="15113" max="15113" width="6.5703125" style="51" customWidth="1"/>
    <col min="15114" max="15114" width="9.85546875" style="51" customWidth="1"/>
    <col min="15115" max="15115" width="9.42578125" style="51" customWidth="1"/>
    <col min="15116" max="15119" width="7.85546875" style="51" customWidth="1"/>
    <col min="15120" max="15120" width="9.5703125" style="51" customWidth="1"/>
    <col min="15121" max="15124" width="8.5703125" style="51" customWidth="1"/>
    <col min="15125" max="15125" width="8" style="51" customWidth="1"/>
    <col min="15126" max="15126" width="7.85546875" style="51" customWidth="1"/>
    <col min="15127" max="15127" width="12.140625" style="51" customWidth="1"/>
    <col min="15128" max="15128" width="9.28515625" style="51" bestFit="1" customWidth="1"/>
    <col min="15129" max="15129" width="10" style="51" customWidth="1"/>
    <col min="15130" max="15359" width="9" style="51"/>
    <col min="15360" max="15360" width="6.140625" style="51" customWidth="1"/>
    <col min="15361" max="15361" width="13.85546875" style="51" customWidth="1"/>
    <col min="15362" max="15362" width="6.28515625" style="51" customWidth="1"/>
    <col min="15363" max="15363" width="9.85546875" style="51" customWidth="1"/>
    <col min="15364" max="15364" width="9.140625" style="51" customWidth="1"/>
    <col min="15365" max="15365" width="9.28515625" style="51" customWidth="1"/>
    <col min="15366" max="15366" width="10.140625" style="51" customWidth="1"/>
    <col min="15367" max="15368" width="9.5703125" style="51" customWidth="1"/>
    <col min="15369" max="15369" width="6.5703125" style="51" customWidth="1"/>
    <col min="15370" max="15370" width="9.85546875" style="51" customWidth="1"/>
    <col min="15371" max="15371" width="9.42578125" style="51" customWidth="1"/>
    <col min="15372" max="15375" width="7.85546875" style="51" customWidth="1"/>
    <col min="15376" max="15376" width="9.5703125" style="51" customWidth="1"/>
    <col min="15377" max="15380" width="8.5703125" style="51" customWidth="1"/>
    <col min="15381" max="15381" width="8" style="51" customWidth="1"/>
    <col min="15382" max="15382" width="7.85546875" style="51" customWidth="1"/>
    <col min="15383" max="15383" width="12.140625" style="51" customWidth="1"/>
    <col min="15384" max="15384" width="9.28515625" style="51" bestFit="1" customWidth="1"/>
    <col min="15385" max="15385" width="10" style="51" customWidth="1"/>
    <col min="15386" max="15615" width="9" style="51"/>
    <col min="15616" max="15616" width="6.140625" style="51" customWidth="1"/>
    <col min="15617" max="15617" width="13.85546875" style="51" customWidth="1"/>
    <col min="15618" max="15618" width="6.28515625" style="51" customWidth="1"/>
    <col min="15619" max="15619" width="9.85546875" style="51" customWidth="1"/>
    <col min="15620" max="15620" width="9.140625" style="51" customWidth="1"/>
    <col min="15621" max="15621" width="9.28515625" style="51" customWidth="1"/>
    <col min="15622" max="15622" width="10.140625" style="51" customWidth="1"/>
    <col min="15623" max="15624" width="9.5703125" style="51" customWidth="1"/>
    <col min="15625" max="15625" width="6.5703125" style="51" customWidth="1"/>
    <col min="15626" max="15626" width="9.85546875" style="51" customWidth="1"/>
    <col min="15627" max="15627" width="9.42578125" style="51" customWidth="1"/>
    <col min="15628" max="15631" width="7.85546875" style="51" customWidth="1"/>
    <col min="15632" max="15632" width="9.5703125" style="51" customWidth="1"/>
    <col min="15633" max="15636" width="8.5703125" style="51" customWidth="1"/>
    <col min="15637" max="15637" width="8" style="51" customWidth="1"/>
    <col min="15638" max="15638" width="7.85546875" style="51" customWidth="1"/>
    <col min="15639" max="15639" width="12.140625" style="51" customWidth="1"/>
    <col min="15640" max="15640" width="9.28515625" style="51" bestFit="1" customWidth="1"/>
    <col min="15641" max="15641" width="10" style="51" customWidth="1"/>
    <col min="15642" max="15871" width="9" style="51"/>
    <col min="15872" max="15872" width="6.140625" style="51" customWidth="1"/>
    <col min="15873" max="15873" width="13.85546875" style="51" customWidth="1"/>
    <col min="15874" max="15874" width="6.28515625" style="51" customWidth="1"/>
    <col min="15875" max="15875" width="9.85546875" style="51" customWidth="1"/>
    <col min="15876" max="15876" width="9.140625" style="51" customWidth="1"/>
    <col min="15877" max="15877" width="9.28515625" style="51" customWidth="1"/>
    <col min="15878" max="15878" width="10.140625" style="51" customWidth="1"/>
    <col min="15879" max="15880" width="9.5703125" style="51" customWidth="1"/>
    <col min="15881" max="15881" width="6.5703125" style="51" customWidth="1"/>
    <col min="15882" max="15882" width="9.85546875" style="51" customWidth="1"/>
    <col min="15883" max="15883" width="9.42578125" style="51" customWidth="1"/>
    <col min="15884" max="15887" width="7.85546875" style="51" customWidth="1"/>
    <col min="15888" max="15888" width="9.5703125" style="51" customWidth="1"/>
    <col min="15889" max="15892" width="8.5703125" style="51" customWidth="1"/>
    <col min="15893" max="15893" width="8" style="51" customWidth="1"/>
    <col min="15894" max="15894" width="7.85546875" style="51" customWidth="1"/>
    <col min="15895" max="15895" width="12.140625" style="51" customWidth="1"/>
    <col min="15896" max="15896" width="9.28515625" style="51" bestFit="1" customWidth="1"/>
    <col min="15897" max="15897" width="10" style="51" customWidth="1"/>
    <col min="15898" max="16127" width="9" style="51"/>
    <col min="16128" max="16128" width="6.140625" style="51" customWidth="1"/>
    <col min="16129" max="16129" width="13.85546875" style="51" customWidth="1"/>
    <col min="16130" max="16130" width="6.28515625" style="51" customWidth="1"/>
    <col min="16131" max="16131" width="9.85546875" style="51" customWidth="1"/>
    <col min="16132" max="16132" width="9.140625" style="51" customWidth="1"/>
    <col min="16133" max="16133" width="9.28515625" style="51" customWidth="1"/>
    <col min="16134" max="16134" width="10.140625" style="51" customWidth="1"/>
    <col min="16135" max="16136" width="9.5703125" style="51" customWidth="1"/>
    <col min="16137" max="16137" width="6.5703125" style="51" customWidth="1"/>
    <col min="16138" max="16138" width="9.85546875" style="51" customWidth="1"/>
    <col min="16139" max="16139" width="9.42578125" style="51" customWidth="1"/>
    <col min="16140" max="16143" width="7.85546875" style="51" customWidth="1"/>
    <col min="16144" max="16144" width="9.5703125" style="51" customWidth="1"/>
    <col min="16145" max="16148" width="8.5703125" style="51" customWidth="1"/>
    <col min="16149" max="16149" width="8" style="51" customWidth="1"/>
    <col min="16150" max="16150" width="7.85546875" style="51" customWidth="1"/>
    <col min="16151" max="16151" width="12.140625" style="51" customWidth="1"/>
    <col min="16152" max="16152" width="9.28515625" style="51" bestFit="1" customWidth="1"/>
    <col min="16153" max="16153" width="10" style="51" customWidth="1"/>
    <col min="16154" max="16384" width="9" style="51"/>
  </cols>
  <sheetData>
    <row r="1" spans="1:254" x14ac:dyDescent="0.25">
      <c r="K1" s="50"/>
      <c r="O1" s="50"/>
    </row>
    <row r="2" spans="1:254" ht="20.25" customHeight="1" x14ac:dyDescent="0.25">
      <c r="A2" s="51"/>
      <c r="C2" s="51"/>
      <c r="D2" s="51"/>
      <c r="E2" s="51"/>
      <c r="F2" s="52"/>
      <c r="G2" s="52"/>
      <c r="H2" s="52"/>
      <c r="I2" s="52"/>
      <c r="J2" s="52"/>
      <c r="K2" s="109" t="s">
        <v>65</v>
      </c>
      <c r="L2" s="109"/>
      <c r="M2" s="109"/>
      <c r="N2" s="109"/>
      <c r="O2" s="109"/>
      <c r="P2" s="52"/>
      <c r="Q2" s="52"/>
      <c r="R2" s="52"/>
      <c r="S2" s="52"/>
      <c r="T2" s="52"/>
      <c r="U2" s="51"/>
      <c r="V2" s="51"/>
      <c r="W2" s="51"/>
      <c r="X2" s="51"/>
      <c r="Z2" s="53"/>
      <c r="AA2" s="53"/>
      <c r="AB2" s="53"/>
      <c r="AC2" s="53"/>
      <c r="AD2" s="53"/>
      <c r="AE2" s="53"/>
      <c r="AF2" s="53"/>
      <c r="AG2" s="53"/>
      <c r="AH2" s="53"/>
      <c r="AI2" s="53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  <c r="BY2" s="53"/>
      <c r="BZ2" s="53"/>
      <c r="CA2" s="53"/>
      <c r="CB2" s="53"/>
      <c r="CC2" s="53"/>
      <c r="CD2" s="53"/>
      <c r="CE2" s="53"/>
      <c r="CF2" s="53"/>
      <c r="CG2" s="53"/>
      <c r="CH2" s="53"/>
      <c r="CI2" s="53"/>
      <c r="CJ2" s="53"/>
      <c r="CK2" s="53"/>
      <c r="CL2" s="53"/>
      <c r="CM2" s="53"/>
      <c r="CN2" s="53"/>
      <c r="CO2" s="53"/>
      <c r="CP2" s="53"/>
      <c r="CQ2" s="53"/>
      <c r="CR2" s="53"/>
      <c r="CS2" s="53"/>
      <c r="CT2" s="53"/>
      <c r="CU2" s="53"/>
      <c r="CV2" s="53"/>
      <c r="CW2" s="53"/>
      <c r="CX2" s="53"/>
      <c r="CY2" s="53"/>
      <c r="CZ2" s="53"/>
      <c r="DA2" s="53"/>
      <c r="DB2" s="53"/>
      <c r="DC2" s="53"/>
      <c r="DD2" s="53"/>
      <c r="DE2" s="53"/>
      <c r="DF2" s="53"/>
      <c r="DG2" s="53"/>
      <c r="DH2" s="53"/>
      <c r="DI2" s="53"/>
      <c r="DJ2" s="53"/>
      <c r="DK2" s="53"/>
      <c r="DL2" s="53"/>
      <c r="DM2" s="53"/>
      <c r="DN2" s="53"/>
      <c r="DO2" s="53"/>
      <c r="DP2" s="53"/>
      <c r="DQ2" s="53"/>
      <c r="DR2" s="53"/>
      <c r="DS2" s="53"/>
      <c r="DT2" s="53"/>
      <c r="DU2" s="53"/>
      <c r="DV2" s="53"/>
      <c r="DW2" s="53"/>
      <c r="DX2" s="53"/>
      <c r="DY2" s="53"/>
      <c r="DZ2" s="53"/>
      <c r="EA2" s="53"/>
      <c r="EB2" s="53"/>
      <c r="EC2" s="53"/>
      <c r="ED2" s="53"/>
      <c r="EE2" s="53"/>
      <c r="EF2" s="53"/>
      <c r="EG2" s="53"/>
      <c r="EH2" s="53"/>
      <c r="EI2" s="53"/>
      <c r="EJ2" s="53"/>
      <c r="EK2" s="53"/>
      <c r="EL2" s="53"/>
      <c r="EM2" s="53"/>
      <c r="EN2" s="53"/>
      <c r="EO2" s="53"/>
      <c r="EP2" s="53"/>
      <c r="EQ2" s="53"/>
      <c r="ER2" s="53"/>
      <c r="ES2" s="53"/>
      <c r="ET2" s="53"/>
      <c r="EU2" s="53"/>
      <c r="EV2" s="53"/>
      <c r="EW2" s="53"/>
      <c r="EX2" s="53"/>
      <c r="EY2" s="53"/>
      <c r="EZ2" s="53"/>
      <c r="FA2" s="53"/>
      <c r="FB2" s="53"/>
      <c r="FC2" s="53"/>
      <c r="FD2" s="53"/>
      <c r="FE2" s="53"/>
      <c r="FF2" s="53"/>
      <c r="FG2" s="53"/>
      <c r="FH2" s="53"/>
      <c r="FI2" s="53"/>
      <c r="FJ2" s="53"/>
      <c r="FK2" s="53"/>
      <c r="FL2" s="53"/>
      <c r="FM2" s="53"/>
      <c r="FN2" s="53"/>
      <c r="FO2" s="53"/>
      <c r="FP2" s="53"/>
      <c r="FQ2" s="53"/>
      <c r="FR2" s="53"/>
      <c r="FS2" s="53"/>
      <c r="FT2" s="53"/>
      <c r="FU2" s="53"/>
      <c r="FV2" s="53"/>
      <c r="FW2" s="53"/>
      <c r="FX2" s="53"/>
      <c r="FY2" s="53"/>
      <c r="FZ2" s="53"/>
      <c r="GA2" s="53"/>
      <c r="GB2" s="53"/>
      <c r="GC2" s="53"/>
      <c r="GD2" s="53"/>
      <c r="GE2" s="53"/>
      <c r="GF2" s="53"/>
      <c r="GG2" s="53"/>
      <c r="GH2" s="53"/>
      <c r="GI2" s="53"/>
      <c r="GJ2" s="53"/>
      <c r="GK2" s="53"/>
      <c r="GL2" s="53"/>
      <c r="GM2" s="53"/>
      <c r="GN2" s="53"/>
      <c r="GO2" s="53"/>
      <c r="GP2" s="53"/>
      <c r="GQ2" s="53"/>
      <c r="GR2" s="53"/>
      <c r="GS2" s="53"/>
      <c r="GT2" s="53"/>
      <c r="GU2" s="53"/>
      <c r="GV2" s="53"/>
      <c r="GW2" s="53"/>
      <c r="GX2" s="53"/>
      <c r="GY2" s="53"/>
      <c r="GZ2" s="53"/>
      <c r="HA2" s="53"/>
      <c r="HB2" s="53"/>
      <c r="HC2" s="53"/>
      <c r="HD2" s="53"/>
      <c r="HE2" s="53"/>
      <c r="HF2" s="53"/>
      <c r="HG2" s="53"/>
      <c r="HH2" s="53"/>
      <c r="HI2" s="53"/>
      <c r="HJ2" s="53"/>
      <c r="HK2" s="53"/>
      <c r="HL2" s="53"/>
      <c r="HM2" s="53"/>
      <c r="HN2" s="53"/>
      <c r="HO2" s="53"/>
      <c r="HP2" s="53"/>
      <c r="HQ2" s="53"/>
      <c r="HR2" s="53"/>
      <c r="HS2" s="53"/>
      <c r="HT2" s="53"/>
      <c r="HU2" s="53"/>
      <c r="HV2" s="53"/>
      <c r="HW2" s="53"/>
      <c r="HX2" s="53"/>
      <c r="HY2" s="53"/>
      <c r="HZ2" s="53"/>
      <c r="IA2" s="53"/>
      <c r="IB2" s="53"/>
      <c r="IC2" s="53"/>
      <c r="ID2" s="53"/>
      <c r="IE2" s="53"/>
      <c r="IF2" s="53"/>
      <c r="IG2" s="53"/>
      <c r="IH2" s="53"/>
      <c r="II2" s="53"/>
      <c r="IJ2" s="53"/>
      <c r="IK2" s="53"/>
      <c r="IL2" s="53"/>
      <c r="IM2" s="53"/>
      <c r="IN2" s="53"/>
      <c r="IO2" s="53"/>
      <c r="IP2" s="53"/>
      <c r="IQ2" s="53"/>
      <c r="IR2" s="53"/>
      <c r="IS2" s="53"/>
      <c r="IT2" s="53"/>
    </row>
    <row r="3" spans="1:254" ht="16.5" x14ac:dyDescent="0.25">
      <c r="A3" s="54"/>
      <c r="B3" s="53"/>
      <c r="C3" s="55"/>
      <c r="D3" s="39"/>
      <c r="E3" s="39"/>
      <c r="F3" s="39"/>
      <c r="G3" s="39"/>
      <c r="H3" s="39"/>
      <c r="I3" s="39"/>
      <c r="J3" s="40"/>
      <c r="K3" s="39"/>
      <c r="L3" s="39"/>
      <c r="M3" s="39"/>
      <c r="N3" s="39"/>
      <c r="O3" s="39"/>
      <c r="P3" s="39"/>
      <c r="Q3" s="39"/>
      <c r="R3" s="39"/>
      <c r="S3" s="41"/>
      <c r="T3" s="41"/>
      <c r="U3" s="41"/>
      <c r="V3" s="148" t="s">
        <v>66</v>
      </c>
      <c r="W3" s="148"/>
      <c r="X3" s="148"/>
      <c r="Y3" s="148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53"/>
      <c r="CC3" s="53"/>
      <c r="CD3" s="53"/>
      <c r="CE3" s="53"/>
      <c r="CF3" s="53"/>
      <c r="CG3" s="53"/>
      <c r="CH3" s="53"/>
      <c r="CI3" s="53"/>
      <c r="CJ3" s="53"/>
      <c r="CK3" s="53"/>
      <c r="CL3" s="53"/>
      <c r="CM3" s="53"/>
      <c r="CN3" s="53"/>
      <c r="CO3" s="53"/>
      <c r="CP3" s="53"/>
      <c r="CQ3" s="53"/>
      <c r="CR3" s="53"/>
      <c r="CS3" s="53"/>
      <c r="CT3" s="53"/>
      <c r="CU3" s="53"/>
      <c r="CV3" s="53"/>
      <c r="CW3" s="53"/>
      <c r="CX3" s="53"/>
      <c r="CY3" s="53"/>
      <c r="CZ3" s="53"/>
      <c r="DA3" s="53"/>
      <c r="DB3" s="53"/>
      <c r="DC3" s="53"/>
      <c r="DD3" s="53"/>
      <c r="DE3" s="53"/>
      <c r="DF3" s="53"/>
      <c r="DG3" s="53"/>
      <c r="DH3" s="53"/>
      <c r="DI3" s="53"/>
      <c r="DJ3" s="53"/>
      <c r="DK3" s="53"/>
      <c r="DL3" s="53"/>
      <c r="DM3" s="53"/>
      <c r="DN3" s="53"/>
      <c r="DO3" s="53"/>
      <c r="DP3" s="53"/>
      <c r="DQ3" s="53"/>
      <c r="DR3" s="53"/>
      <c r="DS3" s="53"/>
      <c r="DT3" s="53"/>
      <c r="DU3" s="53"/>
      <c r="DV3" s="53"/>
      <c r="DW3" s="53"/>
      <c r="DX3" s="53"/>
      <c r="DY3" s="53"/>
      <c r="DZ3" s="53"/>
      <c r="EA3" s="53"/>
      <c r="EB3" s="53"/>
      <c r="EC3" s="53"/>
      <c r="ED3" s="53"/>
      <c r="EE3" s="53"/>
      <c r="EF3" s="53"/>
      <c r="EG3" s="53"/>
      <c r="EH3" s="53"/>
      <c r="EI3" s="53"/>
      <c r="EJ3" s="53"/>
      <c r="EK3" s="53"/>
      <c r="EL3" s="53"/>
      <c r="EM3" s="53"/>
      <c r="EN3" s="53"/>
      <c r="EO3" s="53"/>
      <c r="EP3" s="53"/>
      <c r="EQ3" s="53"/>
      <c r="ER3" s="53"/>
      <c r="ES3" s="53"/>
      <c r="ET3" s="53"/>
      <c r="EU3" s="53"/>
      <c r="EV3" s="53"/>
      <c r="EW3" s="53"/>
      <c r="EX3" s="53"/>
      <c r="EY3" s="53"/>
      <c r="EZ3" s="53"/>
      <c r="FA3" s="53"/>
      <c r="FB3" s="53"/>
      <c r="FC3" s="53"/>
      <c r="FD3" s="53"/>
      <c r="FE3" s="53"/>
      <c r="FF3" s="53"/>
      <c r="FG3" s="53"/>
      <c r="FH3" s="53"/>
      <c r="FI3" s="53"/>
      <c r="FJ3" s="53"/>
      <c r="FK3" s="53"/>
      <c r="FL3" s="53"/>
      <c r="FM3" s="53"/>
      <c r="FN3" s="53"/>
      <c r="FO3" s="53"/>
      <c r="FP3" s="53"/>
      <c r="FQ3" s="53"/>
      <c r="FR3" s="53"/>
      <c r="FS3" s="53"/>
      <c r="FT3" s="53"/>
      <c r="FU3" s="53"/>
      <c r="FV3" s="53"/>
      <c r="FW3" s="53"/>
      <c r="FX3" s="53"/>
      <c r="FY3" s="53"/>
      <c r="FZ3" s="53"/>
      <c r="GA3" s="53"/>
      <c r="GB3" s="53"/>
      <c r="GC3" s="53"/>
      <c r="GD3" s="53"/>
      <c r="GE3" s="53"/>
      <c r="GF3" s="53"/>
      <c r="GG3" s="53"/>
      <c r="GH3" s="53"/>
      <c r="GI3" s="53"/>
      <c r="GJ3" s="53"/>
      <c r="GK3" s="53"/>
      <c r="GL3" s="53"/>
      <c r="GM3" s="53"/>
      <c r="GN3" s="53"/>
      <c r="GO3" s="53"/>
      <c r="GP3" s="53"/>
      <c r="GQ3" s="53"/>
      <c r="GR3" s="53"/>
      <c r="GS3" s="53"/>
      <c r="GT3" s="53"/>
      <c r="GU3" s="53"/>
      <c r="GV3" s="53"/>
      <c r="GW3" s="53"/>
      <c r="GX3" s="53"/>
      <c r="GY3" s="53"/>
      <c r="GZ3" s="53"/>
      <c r="HA3" s="53"/>
      <c r="HB3" s="53"/>
      <c r="HC3" s="53"/>
      <c r="HD3" s="53"/>
      <c r="HE3" s="53"/>
      <c r="HF3" s="53"/>
      <c r="HG3" s="53"/>
      <c r="HH3" s="53"/>
      <c r="HI3" s="53"/>
      <c r="HJ3" s="53"/>
      <c r="HK3" s="53"/>
      <c r="HL3" s="53"/>
      <c r="HM3" s="53"/>
      <c r="HN3" s="53"/>
      <c r="HO3" s="53"/>
      <c r="HP3" s="53"/>
      <c r="HQ3" s="53"/>
      <c r="HR3" s="53"/>
      <c r="HS3" s="53"/>
      <c r="HT3" s="53"/>
      <c r="HU3" s="53"/>
      <c r="HV3" s="53"/>
      <c r="HW3" s="53"/>
      <c r="HX3" s="53"/>
      <c r="HY3" s="53"/>
      <c r="HZ3" s="53"/>
      <c r="IA3" s="53"/>
      <c r="IB3" s="53"/>
      <c r="IC3" s="53"/>
      <c r="ID3" s="53"/>
      <c r="IE3" s="53"/>
      <c r="IF3" s="53"/>
      <c r="IG3" s="53"/>
      <c r="IH3" s="53"/>
      <c r="II3" s="53"/>
      <c r="IJ3" s="53"/>
      <c r="IK3" s="53"/>
      <c r="IL3" s="53"/>
      <c r="IM3" s="53"/>
      <c r="IN3" s="53"/>
      <c r="IO3" s="53"/>
      <c r="IP3" s="53"/>
      <c r="IQ3" s="53"/>
      <c r="IR3" s="53"/>
      <c r="IS3" s="53"/>
      <c r="IT3" s="53"/>
    </row>
    <row r="4" spans="1:254" ht="15.75" customHeight="1" x14ac:dyDescent="0.25">
      <c r="A4" s="149" t="s">
        <v>0</v>
      </c>
      <c r="B4" s="150" t="s">
        <v>21</v>
      </c>
      <c r="C4" s="151" t="s">
        <v>67</v>
      </c>
      <c r="D4" s="145" t="s">
        <v>68</v>
      </c>
      <c r="E4" s="145" t="s">
        <v>69</v>
      </c>
      <c r="F4" s="145"/>
      <c r="G4" s="145"/>
      <c r="H4" s="145"/>
      <c r="I4" s="161" t="s">
        <v>70</v>
      </c>
      <c r="J4" s="145" t="s">
        <v>71</v>
      </c>
      <c r="K4" s="145" t="s">
        <v>72</v>
      </c>
      <c r="L4" s="145" t="s">
        <v>73</v>
      </c>
      <c r="M4" s="162" t="s">
        <v>74</v>
      </c>
      <c r="N4" s="162"/>
      <c r="O4" s="162"/>
      <c r="P4" s="162"/>
      <c r="Q4" s="162"/>
      <c r="R4" s="162" t="s">
        <v>75</v>
      </c>
      <c r="S4" s="162"/>
      <c r="T4" s="162"/>
      <c r="U4" s="162"/>
      <c r="V4" s="145" t="s">
        <v>76</v>
      </c>
      <c r="W4" s="145" t="s">
        <v>77</v>
      </c>
      <c r="X4" s="145" t="s">
        <v>78</v>
      </c>
      <c r="Y4" s="146" t="s">
        <v>79</v>
      </c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  <c r="BR4" s="56"/>
      <c r="BS4" s="56"/>
      <c r="BT4" s="56"/>
      <c r="BU4" s="56"/>
      <c r="BV4" s="56"/>
      <c r="BW4" s="56"/>
      <c r="BX4" s="56"/>
      <c r="BY4" s="56"/>
      <c r="BZ4" s="56"/>
      <c r="CA4" s="56"/>
      <c r="CB4" s="56"/>
      <c r="CC4" s="56"/>
      <c r="CD4" s="56"/>
      <c r="CE4" s="56"/>
      <c r="CF4" s="56"/>
      <c r="CG4" s="56"/>
      <c r="CH4" s="56"/>
      <c r="CI4" s="56"/>
      <c r="CJ4" s="56"/>
      <c r="CK4" s="56"/>
      <c r="CL4" s="56"/>
      <c r="CM4" s="56"/>
      <c r="CN4" s="56"/>
      <c r="CO4" s="56"/>
      <c r="CP4" s="56"/>
      <c r="CQ4" s="56"/>
      <c r="CR4" s="56"/>
      <c r="CS4" s="56"/>
      <c r="CT4" s="56"/>
      <c r="CU4" s="56"/>
      <c r="CV4" s="56"/>
      <c r="CW4" s="56"/>
      <c r="CX4" s="56"/>
      <c r="CY4" s="56"/>
      <c r="CZ4" s="56"/>
      <c r="DA4" s="56"/>
      <c r="DB4" s="56"/>
      <c r="DC4" s="56"/>
      <c r="DD4" s="56"/>
      <c r="DE4" s="56"/>
      <c r="DF4" s="56"/>
      <c r="DG4" s="56"/>
      <c r="DH4" s="56"/>
      <c r="DI4" s="56"/>
      <c r="DJ4" s="56"/>
      <c r="DK4" s="56"/>
      <c r="DL4" s="56"/>
      <c r="DM4" s="56"/>
      <c r="DN4" s="56"/>
      <c r="DO4" s="56"/>
      <c r="DP4" s="56"/>
      <c r="DQ4" s="56"/>
      <c r="DR4" s="56"/>
      <c r="DS4" s="56"/>
      <c r="DT4" s="56"/>
      <c r="DU4" s="56"/>
      <c r="DV4" s="56"/>
      <c r="DW4" s="56"/>
      <c r="DX4" s="56"/>
      <c r="DY4" s="56"/>
      <c r="DZ4" s="56"/>
      <c r="EA4" s="56"/>
      <c r="EB4" s="56"/>
      <c r="EC4" s="56"/>
      <c r="ED4" s="56"/>
      <c r="EE4" s="56"/>
      <c r="EF4" s="56"/>
      <c r="EG4" s="56"/>
      <c r="EH4" s="56"/>
      <c r="EI4" s="56"/>
      <c r="EJ4" s="56"/>
      <c r="EK4" s="56"/>
      <c r="EL4" s="56"/>
      <c r="EM4" s="56"/>
      <c r="EN4" s="56"/>
      <c r="EO4" s="56"/>
      <c r="EP4" s="56"/>
      <c r="EQ4" s="56"/>
      <c r="ER4" s="56"/>
      <c r="ES4" s="56"/>
      <c r="ET4" s="56"/>
      <c r="EU4" s="56"/>
      <c r="EV4" s="56"/>
      <c r="EW4" s="56"/>
      <c r="EX4" s="56"/>
      <c r="EY4" s="56"/>
      <c r="EZ4" s="56"/>
      <c r="FA4" s="56"/>
      <c r="FB4" s="56"/>
      <c r="FC4" s="56"/>
      <c r="FD4" s="56"/>
      <c r="FE4" s="56"/>
      <c r="FF4" s="56"/>
      <c r="FG4" s="56"/>
      <c r="FH4" s="56"/>
      <c r="FI4" s="56"/>
      <c r="FJ4" s="56"/>
      <c r="FK4" s="56"/>
      <c r="FL4" s="56"/>
      <c r="FM4" s="56"/>
      <c r="FN4" s="56"/>
      <c r="FO4" s="56"/>
      <c r="FP4" s="56"/>
      <c r="FQ4" s="56"/>
      <c r="FR4" s="56"/>
      <c r="FS4" s="56"/>
      <c r="FT4" s="56"/>
      <c r="FU4" s="56"/>
      <c r="FV4" s="56"/>
      <c r="FW4" s="56"/>
      <c r="FX4" s="56"/>
      <c r="FY4" s="56"/>
      <c r="FZ4" s="56"/>
      <c r="GA4" s="56"/>
      <c r="GB4" s="56"/>
      <c r="GC4" s="56"/>
      <c r="GD4" s="56"/>
      <c r="GE4" s="56"/>
      <c r="GF4" s="56"/>
      <c r="GG4" s="56"/>
      <c r="GH4" s="56"/>
      <c r="GI4" s="56"/>
      <c r="GJ4" s="56"/>
      <c r="GK4" s="56"/>
      <c r="GL4" s="56"/>
      <c r="GM4" s="56"/>
      <c r="GN4" s="56"/>
      <c r="GO4" s="56"/>
      <c r="GP4" s="56"/>
      <c r="GQ4" s="56"/>
      <c r="GR4" s="56"/>
      <c r="GS4" s="56"/>
      <c r="GT4" s="56"/>
      <c r="GU4" s="56"/>
      <c r="GV4" s="56"/>
      <c r="GW4" s="56"/>
      <c r="GX4" s="56"/>
      <c r="GY4" s="56"/>
      <c r="GZ4" s="56"/>
      <c r="HA4" s="56"/>
      <c r="HB4" s="56"/>
      <c r="HC4" s="56"/>
      <c r="HD4" s="56"/>
      <c r="HE4" s="56"/>
      <c r="HF4" s="56"/>
      <c r="HG4" s="56"/>
      <c r="HH4" s="56"/>
      <c r="HI4" s="56"/>
      <c r="HJ4" s="56"/>
      <c r="HK4" s="56"/>
      <c r="HL4" s="56"/>
      <c r="HM4" s="56"/>
      <c r="HN4" s="56"/>
      <c r="HO4" s="56"/>
      <c r="HP4" s="56"/>
      <c r="HQ4" s="56"/>
      <c r="HR4" s="56"/>
      <c r="HS4" s="56"/>
      <c r="HT4" s="56"/>
      <c r="HU4" s="56"/>
      <c r="HV4" s="56"/>
      <c r="HW4" s="56"/>
      <c r="HX4" s="56"/>
      <c r="HY4" s="56"/>
      <c r="HZ4" s="56"/>
      <c r="IA4" s="56"/>
      <c r="IB4" s="56"/>
      <c r="IC4" s="56"/>
      <c r="ID4" s="56"/>
      <c r="IE4" s="56"/>
      <c r="IF4" s="56"/>
      <c r="IG4" s="56"/>
      <c r="IH4" s="56"/>
      <c r="II4" s="56"/>
      <c r="IJ4" s="56"/>
      <c r="IK4" s="56"/>
      <c r="IL4" s="56"/>
      <c r="IM4" s="56"/>
      <c r="IN4" s="56"/>
      <c r="IO4" s="56"/>
      <c r="IP4" s="56"/>
      <c r="IQ4" s="56"/>
      <c r="IR4" s="56"/>
      <c r="IS4" s="56"/>
      <c r="IT4" s="56"/>
    </row>
    <row r="5" spans="1:254" ht="25.5" x14ac:dyDescent="0.25">
      <c r="A5" s="149"/>
      <c r="B5" s="150"/>
      <c r="C5" s="152"/>
      <c r="D5" s="145"/>
      <c r="E5" s="84" t="s">
        <v>80</v>
      </c>
      <c r="F5" s="84" t="s">
        <v>81</v>
      </c>
      <c r="G5" s="84" t="s">
        <v>82</v>
      </c>
      <c r="H5" s="84" t="s">
        <v>83</v>
      </c>
      <c r="I5" s="161"/>
      <c r="J5" s="145"/>
      <c r="K5" s="145"/>
      <c r="L5" s="145"/>
      <c r="M5" s="84" t="s">
        <v>84</v>
      </c>
      <c r="N5" s="84" t="s">
        <v>85</v>
      </c>
      <c r="O5" s="84" t="s">
        <v>86</v>
      </c>
      <c r="P5" s="84" t="s">
        <v>87</v>
      </c>
      <c r="Q5" s="85" t="s">
        <v>88</v>
      </c>
      <c r="R5" s="84" t="s">
        <v>89</v>
      </c>
      <c r="S5" s="84" t="s">
        <v>90</v>
      </c>
      <c r="T5" s="84" t="s">
        <v>87</v>
      </c>
      <c r="U5" s="85" t="s">
        <v>91</v>
      </c>
      <c r="V5" s="145"/>
      <c r="W5" s="145"/>
      <c r="X5" s="145"/>
      <c r="Y5" s="147"/>
      <c r="Z5" s="153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56"/>
      <c r="BT5" s="56"/>
      <c r="BU5" s="56"/>
      <c r="BV5" s="56"/>
      <c r="BW5" s="56"/>
      <c r="BX5" s="56"/>
      <c r="BY5" s="56"/>
      <c r="BZ5" s="56"/>
      <c r="CA5" s="56"/>
      <c r="CB5" s="56"/>
      <c r="CC5" s="56"/>
      <c r="CD5" s="56"/>
      <c r="CE5" s="56"/>
      <c r="CF5" s="56"/>
      <c r="CG5" s="56"/>
      <c r="CH5" s="56"/>
      <c r="CI5" s="56"/>
      <c r="CJ5" s="56"/>
      <c r="CK5" s="56"/>
      <c r="CL5" s="56"/>
      <c r="CM5" s="56"/>
      <c r="CN5" s="56"/>
      <c r="CO5" s="56"/>
      <c r="CP5" s="56"/>
      <c r="CQ5" s="56"/>
      <c r="CR5" s="56"/>
      <c r="CS5" s="56"/>
      <c r="CT5" s="56"/>
      <c r="CU5" s="56"/>
      <c r="CV5" s="56"/>
      <c r="CW5" s="56"/>
      <c r="CX5" s="56"/>
      <c r="CY5" s="56"/>
      <c r="CZ5" s="56"/>
      <c r="DA5" s="56"/>
      <c r="DB5" s="56"/>
      <c r="DC5" s="56"/>
      <c r="DD5" s="56"/>
      <c r="DE5" s="56"/>
      <c r="DF5" s="56"/>
      <c r="DG5" s="56"/>
      <c r="DH5" s="56"/>
      <c r="DI5" s="56"/>
      <c r="DJ5" s="56"/>
      <c r="DK5" s="56"/>
      <c r="DL5" s="56"/>
      <c r="DM5" s="56"/>
      <c r="DN5" s="56"/>
      <c r="DO5" s="56"/>
      <c r="DP5" s="56"/>
      <c r="DQ5" s="56"/>
      <c r="DR5" s="56"/>
      <c r="DS5" s="56"/>
      <c r="DT5" s="56"/>
      <c r="DU5" s="56"/>
      <c r="DV5" s="56"/>
      <c r="DW5" s="56"/>
      <c r="DX5" s="56"/>
      <c r="DY5" s="56"/>
      <c r="DZ5" s="56"/>
      <c r="EA5" s="56"/>
      <c r="EB5" s="56"/>
      <c r="EC5" s="56"/>
      <c r="ED5" s="56"/>
      <c r="EE5" s="56"/>
      <c r="EF5" s="56"/>
      <c r="EG5" s="56"/>
      <c r="EH5" s="56"/>
      <c r="EI5" s="56"/>
      <c r="EJ5" s="56"/>
      <c r="EK5" s="56"/>
      <c r="EL5" s="56"/>
      <c r="EM5" s="56"/>
      <c r="EN5" s="56"/>
      <c r="EO5" s="56"/>
      <c r="EP5" s="56"/>
      <c r="EQ5" s="56"/>
      <c r="ER5" s="56"/>
      <c r="ES5" s="56"/>
      <c r="ET5" s="56"/>
      <c r="EU5" s="56"/>
      <c r="EV5" s="56"/>
      <c r="EW5" s="56"/>
      <c r="EX5" s="56"/>
      <c r="EY5" s="56"/>
      <c r="EZ5" s="56"/>
      <c r="FA5" s="56"/>
      <c r="FB5" s="56"/>
      <c r="FC5" s="56"/>
      <c r="FD5" s="56"/>
      <c r="FE5" s="56"/>
      <c r="FF5" s="56"/>
      <c r="FG5" s="56"/>
      <c r="FH5" s="56"/>
      <c r="FI5" s="56"/>
      <c r="FJ5" s="56"/>
      <c r="FK5" s="56"/>
      <c r="FL5" s="56"/>
      <c r="FM5" s="56"/>
      <c r="FN5" s="56"/>
      <c r="FO5" s="56"/>
      <c r="FP5" s="56"/>
      <c r="FQ5" s="56"/>
      <c r="FR5" s="56"/>
      <c r="FS5" s="56"/>
      <c r="FT5" s="56"/>
      <c r="FU5" s="56"/>
      <c r="FV5" s="56"/>
      <c r="FW5" s="56"/>
      <c r="FX5" s="56"/>
      <c r="FY5" s="56"/>
      <c r="FZ5" s="56"/>
      <c r="GA5" s="56"/>
      <c r="GB5" s="56"/>
      <c r="GC5" s="56"/>
      <c r="GD5" s="56"/>
      <c r="GE5" s="56"/>
      <c r="GF5" s="56"/>
      <c r="GG5" s="56"/>
      <c r="GH5" s="56"/>
      <c r="GI5" s="56"/>
      <c r="GJ5" s="56"/>
      <c r="GK5" s="56"/>
      <c r="GL5" s="56"/>
      <c r="GM5" s="56"/>
      <c r="GN5" s="56"/>
      <c r="GO5" s="56"/>
      <c r="GP5" s="56"/>
      <c r="GQ5" s="56"/>
      <c r="GR5" s="56"/>
      <c r="GS5" s="56"/>
      <c r="GT5" s="56"/>
      <c r="GU5" s="56"/>
      <c r="GV5" s="56"/>
      <c r="GW5" s="56"/>
      <c r="GX5" s="56"/>
      <c r="GY5" s="56"/>
      <c r="GZ5" s="56"/>
      <c r="HA5" s="56"/>
      <c r="HB5" s="56"/>
      <c r="HC5" s="56"/>
      <c r="HD5" s="56"/>
      <c r="HE5" s="56"/>
      <c r="HF5" s="56"/>
      <c r="HG5" s="56"/>
      <c r="HH5" s="56"/>
      <c r="HI5" s="56"/>
      <c r="HJ5" s="56"/>
      <c r="HK5" s="56"/>
      <c r="HL5" s="56"/>
      <c r="HM5" s="56"/>
      <c r="HN5" s="56"/>
      <c r="HO5" s="56"/>
      <c r="HP5" s="56"/>
      <c r="HQ5" s="56"/>
      <c r="HR5" s="56"/>
      <c r="HS5" s="56"/>
      <c r="HT5" s="56"/>
      <c r="HU5" s="56"/>
      <c r="HV5" s="56"/>
      <c r="HW5" s="56"/>
      <c r="HX5" s="56"/>
      <c r="HY5" s="56"/>
      <c r="HZ5" s="56"/>
      <c r="IA5" s="56"/>
      <c r="IB5" s="56"/>
      <c r="IC5" s="56"/>
      <c r="ID5" s="56"/>
      <c r="IE5" s="56"/>
      <c r="IF5" s="56"/>
      <c r="IG5" s="56"/>
      <c r="IH5" s="56"/>
      <c r="II5" s="56"/>
      <c r="IJ5" s="56"/>
      <c r="IK5" s="56"/>
      <c r="IL5" s="56"/>
      <c r="IM5" s="56"/>
      <c r="IN5" s="56"/>
      <c r="IO5" s="56"/>
      <c r="IP5" s="56"/>
      <c r="IQ5" s="56"/>
      <c r="IR5" s="56"/>
      <c r="IS5" s="56"/>
      <c r="IT5" s="56"/>
    </row>
    <row r="6" spans="1:254" x14ac:dyDescent="0.25">
      <c r="A6" s="110"/>
      <c r="B6" s="86"/>
      <c r="C6" s="87">
        <v>1</v>
      </c>
      <c r="D6" s="84">
        <v>2</v>
      </c>
      <c r="E6" s="88">
        <v>3</v>
      </c>
      <c r="F6" s="84">
        <v>4</v>
      </c>
      <c r="G6" s="88">
        <v>5</v>
      </c>
      <c r="H6" s="84">
        <v>6</v>
      </c>
      <c r="I6" s="84">
        <v>8</v>
      </c>
      <c r="J6" s="88">
        <v>9</v>
      </c>
      <c r="K6" s="84">
        <v>10</v>
      </c>
      <c r="L6" s="88">
        <v>11</v>
      </c>
      <c r="M6" s="88">
        <v>12</v>
      </c>
      <c r="N6" s="88">
        <v>13</v>
      </c>
      <c r="O6" s="88">
        <v>14</v>
      </c>
      <c r="P6" s="88">
        <v>15</v>
      </c>
      <c r="Q6" s="88">
        <v>16</v>
      </c>
      <c r="R6" s="88">
        <v>17</v>
      </c>
      <c r="S6" s="84">
        <v>18</v>
      </c>
      <c r="T6" s="88">
        <v>19</v>
      </c>
      <c r="U6" s="84">
        <v>20</v>
      </c>
      <c r="V6" s="88">
        <v>21</v>
      </c>
      <c r="W6" s="84">
        <v>22</v>
      </c>
      <c r="X6" s="88">
        <v>23</v>
      </c>
      <c r="Y6" s="89"/>
      <c r="Z6" s="153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6"/>
      <c r="DS6" s="56"/>
      <c r="DT6" s="56"/>
      <c r="DU6" s="56"/>
      <c r="DV6" s="56"/>
      <c r="DW6" s="56"/>
      <c r="DX6" s="56"/>
      <c r="DY6" s="56"/>
      <c r="DZ6" s="56"/>
      <c r="EA6" s="56"/>
      <c r="EB6" s="56"/>
      <c r="EC6" s="56"/>
      <c r="ED6" s="56"/>
      <c r="EE6" s="56"/>
      <c r="EF6" s="56"/>
      <c r="EG6" s="56"/>
      <c r="EH6" s="56"/>
      <c r="EI6" s="56"/>
      <c r="EJ6" s="56"/>
      <c r="EK6" s="56"/>
      <c r="EL6" s="56"/>
      <c r="EM6" s="56"/>
      <c r="EN6" s="56"/>
      <c r="EO6" s="56"/>
      <c r="EP6" s="56"/>
      <c r="EQ6" s="56"/>
      <c r="ER6" s="56"/>
      <c r="ES6" s="56"/>
      <c r="ET6" s="56"/>
      <c r="EU6" s="56"/>
      <c r="EV6" s="56"/>
      <c r="EW6" s="56"/>
      <c r="EX6" s="56"/>
      <c r="EY6" s="56"/>
      <c r="EZ6" s="56"/>
      <c r="FA6" s="56"/>
      <c r="FB6" s="56"/>
      <c r="FC6" s="56"/>
      <c r="FD6" s="56"/>
      <c r="FE6" s="56"/>
      <c r="FF6" s="56"/>
      <c r="FG6" s="56"/>
      <c r="FH6" s="56"/>
      <c r="FI6" s="56"/>
      <c r="FJ6" s="56"/>
      <c r="FK6" s="56"/>
      <c r="FL6" s="56"/>
      <c r="FM6" s="56"/>
      <c r="FN6" s="56"/>
      <c r="FO6" s="56"/>
      <c r="FP6" s="56"/>
      <c r="FQ6" s="56"/>
      <c r="FR6" s="56"/>
      <c r="FS6" s="56"/>
      <c r="FT6" s="56"/>
      <c r="FU6" s="56"/>
      <c r="FV6" s="56"/>
      <c r="FW6" s="56"/>
      <c r="FX6" s="56"/>
      <c r="FY6" s="56"/>
      <c r="FZ6" s="56"/>
      <c r="GA6" s="56"/>
      <c r="GB6" s="56"/>
      <c r="GC6" s="56"/>
      <c r="GD6" s="56"/>
      <c r="GE6" s="56"/>
      <c r="GF6" s="56"/>
      <c r="GG6" s="56"/>
      <c r="GH6" s="56"/>
      <c r="GI6" s="56"/>
      <c r="GJ6" s="56"/>
      <c r="GK6" s="56"/>
      <c r="GL6" s="56"/>
      <c r="GM6" s="56"/>
      <c r="GN6" s="56"/>
      <c r="GO6" s="56"/>
      <c r="GP6" s="56"/>
      <c r="GQ6" s="56"/>
      <c r="GR6" s="56"/>
      <c r="GS6" s="56"/>
      <c r="GT6" s="56"/>
      <c r="GU6" s="56"/>
      <c r="GV6" s="56"/>
      <c r="GW6" s="56"/>
      <c r="GX6" s="56"/>
      <c r="GY6" s="56"/>
      <c r="GZ6" s="56"/>
      <c r="HA6" s="56"/>
      <c r="HB6" s="56"/>
      <c r="HC6" s="56"/>
      <c r="HD6" s="56"/>
      <c r="HE6" s="56"/>
      <c r="HF6" s="56"/>
      <c r="HG6" s="56"/>
      <c r="HH6" s="56"/>
      <c r="HI6" s="56"/>
      <c r="HJ6" s="56"/>
      <c r="HK6" s="56"/>
      <c r="HL6" s="56"/>
      <c r="HM6" s="56"/>
      <c r="HN6" s="56"/>
      <c r="HO6" s="56"/>
      <c r="HP6" s="56"/>
      <c r="HQ6" s="56"/>
      <c r="HR6" s="56"/>
      <c r="HS6" s="56"/>
      <c r="HT6" s="56"/>
      <c r="HU6" s="56"/>
      <c r="HV6" s="56"/>
      <c r="HW6" s="56"/>
      <c r="HX6" s="56"/>
      <c r="HY6" s="56"/>
      <c r="HZ6" s="56"/>
      <c r="IA6" s="56"/>
      <c r="IB6" s="56"/>
      <c r="IC6" s="56"/>
      <c r="ID6" s="56"/>
      <c r="IE6" s="56"/>
      <c r="IF6" s="56"/>
      <c r="IG6" s="56"/>
      <c r="IH6" s="56"/>
      <c r="II6" s="56"/>
      <c r="IJ6" s="56"/>
      <c r="IK6" s="56"/>
      <c r="IL6" s="56"/>
      <c r="IM6" s="56"/>
      <c r="IN6" s="56"/>
      <c r="IO6" s="56"/>
      <c r="IP6" s="56"/>
      <c r="IQ6" s="56"/>
      <c r="IR6" s="56"/>
      <c r="IS6" s="56"/>
      <c r="IT6" s="56"/>
    </row>
    <row r="7" spans="1:254" x14ac:dyDescent="0.25">
      <c r="A7" s="111" t="s">
        <v>92</v>
      </c>
      <c r="B7" s="90" t="s">
        <v>93</v>
      </c>
      <c r="C7" s="91"/>
      <c r="D7" s="92">
        <f t="shared" ref="D7:X7" si="0">SUBTOTAL(9,D8:D13)</f>
        <v>37000000</v>
      </c>
      <c r="E7" s="92">
        <f t="shared" si="0"/>
        <v>6000000</v>
      </c>
      <c r="F7" s="92">
        <f t="shared" si="0"/>
        <v>4380000</v>
      </c>
      <c r="G7" s="92">
        <f t="shared" si="0"/>
        <v>6800000</v>
      </c>
      <c r="H7" s="92">
        <f t="shared" si="0"/>
        <v>6800000</v>
      </c>
      <c r="I7" s="92">
        <f t="shared" si="0"/>
        <v>60980000</v>
      </c>
      <c r="J7" s="92">
        <f t="shared" si="0"/>
        <v>152</v>
      </c>
      <c r="K7" s="92">
        <f t="shared" si="0"/>
        <v>59767692.307692312</v>
      </c>
      <c r="L7" s="92">
        <f t="shared" si="0"/>
        <v>43000000</v>
      </c>
      <c r="M7" s="92">
        <f t="shared" si="0"/>
        <v>860000</v>
      </c>
      <c r="N7" s="92">
        <f t="shared" si="0"/>
        <v>7525000</v>
      </c>
      <c r="O7" s="92">
        <f t="shared" si="0"/>
        <v>1290000</v>
      </c>
      <c r="P7" s="92">
        <f t="shared" si="0"/>
        <v>430000</v>
      </c>
      <c r="Q7" s="92">
        <f t="shared" si="0"/>
        <v>10105000</v>
      </c>
      <c r="R7" s="92">
        <f t="shared" si="0"/>
        <v>3440000</v>
      </c>
      <c r="S7" s="92">
        <f t="shared" si="0"/>
        <v>645000</v>
      </c>
      <c r="T7" s="92">
        <f t="shared" si="0"/>
        <v>430000</v>
      </c>
      <c r="U7" s="92">
        <f t="shared" si="0"/>
        <v>4515000</v>
      </c>
      <c r="V7" s="92">
        <f t="shared" si="0"/>
        <v>0</v>
      </c>
      <c r="W7" s="92">
        <f t="shared" si="0"/>
        <v>0</v>
      </c>
      <c r="X7" s="92">
        <f t="shared" si="0"/>
        <v>55252692.307692312</v>
      </c>
      <c r="Y7" s="92"/>
      <c r="Z7" s="153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57"/>
      <c r="AY7" s="57"/>
      <c r="AZ7" s="57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  <c r="FB7" s="57"/>
      <c r="FC7" s="57"/>
      <c r="FD7" s="57"/>
      <c r="FE7" s="57"/>
      <c r="FF7" s="57"/>
      <c r="FG7" s="57"/>
      <c r="FH7" s="57"/>
      <c r="FI7" s="57"/>
      <c r="FJ7" s="57"/>
      <c r="FK7" s="57"/>
      <c r="FL7" s="57"/>
      <c r="FM7" s="57"/>
      <c r="FN7" s="57"/>
      <c r="FO7" s="57"/>
      <c r="FP7" s="57"/>
      <c r="FQ7" s="57"/>
      <c r="FR7" s="57"/>
      <c r="FS7" s="57"/>
      <c r="FT7" s="57"/>
      <c r="FU7" s="57"/>
      <c r="FV7" s="57"/>
      <c r="FW7" s="57"/>
      <c r="FX7" s="57"/>
      <c r="FY7" s="57"/>
      <c r="FZ7" s="57"/>
      <c r="GA7" s="57"/>
      <c r="GB7" s="57"/>
      <c r="GC7" s="57"/>
      <c r="GD7" s="57"/>
      <c r="GE7" s="57"/>
      <c r="GF7" s="57"/>
      <c r="GG7" s="57"/>
      <c r="GH7" s="57"/>
      <c r="GI7" s="57"/>
      <c r="GJ7" s="57"/>
      <c r="GK7" s="57"/>
      <c r="GL7" s="57"/>
      <c r="GM7" s="57"/>
      <c r="GN7" s="57"/>
      <c r="GO7" s="57"/>
      <c r="GP7" s="57"/>
      <c r="GQ7" s="57"/>
      <c r="GR7" s="57"/>
      <c r="GS7" s="57"/>
      <c r="GT7" s="57"/>
      <c r="GU7" s="57"/>
      <c r="GV7" s="57"/>
      <c r="GW7" s="57"/>
      <c r="GX7" s="57"/>
      <c r="GY7" s="57"/>
      <c r="GZ7" s="57"/>
      <c r="HA7" s="57"/>
      <c r="HB7" s="57"/>
      <c r="HC7" s="57"/>
      <c r="HD7" s="57"/>
      <c r="HE7" s="57"/>
      <c r="HF7" s="57"/>
      <c r="HG7" s="57"/>
      <c r="HH7" s="57"/>
      <c r="HI7" s="57"/>
      <c r="HJ7" s="57"/>
      <c r="HK7" s="57"/>
      <c r="HL7" s="57"/>
      <c r="HM7" s="57"/>
      <c r="HN7" s="57"/>
      <c r="HO7" s="57"/>
      <c r="HP7" s="57"/>
      <c r="HQ7" s="57"/>
      <c r="HR7" s="57"/>
      <c r="HS7" s="57"/>
      <c r="HT7" s="57"/>
      <c r="HU7" s="57"/>
      <c r="HV7" s="57"/>
      <c r="HW7" s="57"/>
      <c r="HX7" s="57"/>
      <c r="HY7" s="57"/>
      <c r="HZ7" s="57"/>
      <c r="IA7" s="57"/>
      <c r="IB7" s="57"/>
      <c r="IC7" s="57"/>
      <c r="ID7" s="57"/>
      <c r="IE7" s="57"/>
      <c r="IF7" s="57"/>
      <c r="IG7" s="57"/>
      <c r="IH7" s="57"/>
      <c r="II7" s="57"/>
      <c r="IJ7" s="57"/>
      <c r="IK7" s="57"/>
      <c r="IL7" s="57"/>
      <c r="IM7" s="57"/>
      <c r="IN7" s="57"/>
      <c r="IO7" s="57"/>
      <c r="IP7" s="57"/>
      <c r="IQ7" s="57"/>
      <c r="IR7" s="57"/>
      <c r="IS7" s="57"/>
      <c r="IT7" s="57"/>
    </row>
    <row r="8" spans="1:254" x14ac:dyDescent="0.25">
      <c r="A8" s="112">
        <v>1</v>
      </c>
      <c r="B8" s="93" t="s">
        <v>111</v>
      </c>
      <c r="C8" s="94" t="s">
        <v>94</v>
      </c>
      <c r="D8" s="95">
        <v>8000000</v>
      </c>
      <c r="E8" s="95">
        <v>3000000</v>
      </c>
      <c r="F8" s="95">
        <v>730000</v>
      </c>
      <c r="G8" s="95">
        <v>2000000</v>
      </c>
      <c r="H8" s="95">
        <v>2000000</v>
      </c>
      <c r="I8" s="96">
        <f t="shared" ref="I8:I13" si="1">D8+E8+F8+G8+H8</f>
        <v>15730000</v>
      </c>
      <c r="J8" s="97">
        <v>26</v>
      </c>
      <c r="K8" s="92">
        <f>I8/26*J8</f>
        <v>15730000</v>
      </c>
      <c r="L8" s="92">
        <f t="shared" ref="L8:L13" si="2">D8+E8</f>
        <v>11000000</v>
      </c>
      <c r="M8" s="98">
        <f t="shared" ref="M8:M13" si="3">$L8*2%</f>
        <v>220000</v>
      </c>
      <c r="N8" s="98">
        <f t="shared" ref="N8:N13" si="4">$L8*17.5%</f>
        <v>1924999.9999999998</v>
      </c>
      <c r="O8" s="98">
        <f t="shared" ref="O8:O13" si="5">$L8*3%</f>
        <v>330000</v>
      </c>
      <c r="P8" s="98">
        <f t="shared" ref="P8:P13" si="6">$L8*1%</f>
        <v>110000</v>
      </c>
      <c r="Q8" s="98">
        <f t="shared" ref="Q8:Q13" si="7">SUM(M8:P8)</f>
        <v>2585000</v>
      </c>
      <c r="R8" s="98">
        <f t="shared" ref="R8:R13" si="8">$L8*8%</f>
        <v>880000</v>
      </c>
      <c r="S8" s="98">
        <f t="shared" ref="S8:S13" si="9">$L8*1.5%</f>
        <v>165000</v>
      </c>
      <c r="T8" s="98">
        <f t="shared" ref="T8:T13" si="10">$L8*1%</f>
        <v>110000</v>
      </c>
      <c r="U8" s="98">
        <f t="shared" ref="U8:U13" si="11">SUM(R8:T8)</f>
        <v>1155000</v>
      </c>
      <c r="V8" s="95"/>
      <c r="W8" s="95"/>
      <c r="X8" s="99">
        <f t="shared" ref="X8:X13" si="12">K8-U8-V8-W8</f>
        <v>14575000</v>
      </c>
      <c r="Y8" s="95"/>
      <c r="Z8" s="58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8"/>
      <c r="DT8" s="58"/>
      <c r="DU8" s="58"/>
      <c r="DV8" s="58"/>
      <c r="DW8" s="58"/>
      <c r="DX8" s="58"/>
      <c r="DY8" s="58"/>
      <c r="DZ8" s="58"/>
      <c r="EA8" s="58"/>
      <c r="EB8" s="58"/>
      <c r="EC8" s="58"/>
      <c r="ED8" s="58"/>
      <c r="EE8" s="58"/>
      <c r="EF8" s="58"/>
      <c r="EG8" s="58"/>
      <c r="EH8" s="58"/>
      <c r="EI8" s="58"/>
      <c r="EJ8" s="58"/>
      <c r="EK8" s="58"/>
      <c r="EL8" s="58"/>
      <c r="EM8" s="58"/>
      <c r="EN8" s="58"/>
      <c r="EO8" s="58"/>
      <c r="EP8" s="58"/>
      <c r="EQ8" s="58"/>
      <c r="ER8" s="58"/>
      <c r="ES8" s="58"/>
      <c r="ET8" s="58"/>
      <c r="EU8" s="58"/>
      <c r="EV8" s="58"/>
      <c r="EW8" s="58"/>
      <c r="EX8" s="58"/>
      <c r="EY8" s="58"/>
      <c r="EZ8" s="58"/>
      <c r="FA8" s="58"/>
      <c r="FB8" s="58"/>
      <c r="FC8" s="58"/>
      <c r="FD8" s="58"/>
      <c r="FE8" s="58"/>
      <c r="FF8" s="58"/>
      <c r="FG8" s="58"/>
      <c r="FH8" s="58"/>
      <c r="FI8" s="58"/>
      <c r="FJ8" s="58"/>
      <c r="FK8" s="58"/>
      <c r="FL8" s="58"/>
      <c r="FM8" s="58"/>
      <c r="FN8" s="58"/>
      <c r="FO8" s="58"/>
      <c r="FP8" s="58"/>
      <c r="FQ8" s="58"/>
      <c r="FR8" s="58"/>
      <c r="FS8" s="58"/>
      <c r="FT8" s="58"/>
      <c r="FU8" s="58"/>
      <c r="FV8" s="58"/>
      <c r="FW8" s="58"/>
      <c r="FX8" s="58"/>
      <c r="FY8" s="58"/>
      <c r="FZ8" s="58"/>
      <c r="GA8" s="58"/>
      <c r="GB8" s="58"/>
      <c r="GC8" s="58"/>
      <c r="GD8" s="58"/>
      <c r="GE8" s="58"/>
      <c r="GF8" s="58"/>
      <c r="GG8" s="58"/>
      <c r="GH8" s="58"/>
      <c r="GI8" s="58"/>
      <c r="GJ8" s="58"/>
      <c r="GK8" s="58"/>
      <c r="GL8" s="58"/>
      <c r="GM8" s="58"/>
      <c r="GN8" s="58"/>
      <c r="GO8" s="58"/>
      <c r="GP8" s="58"/>
      <c r="GQ8" s="58"/>
      <c r="GR8" s="58"/>
      <c r="GS8" s="58"/>
      <c r="GT8" s="58"/>
      <c r="GU8" s="58"/>
      <c r="GV8" s="58"/>
      <c r="GW8" s="58"/>
      <c r="GX8" s="58"/>
      <c r="GY8" s="58"/>
      <c r="GZ8" s="58"/>
      <c r="HA8" s="58"/>
      <c r="HB8" s="58"/>
      <c r="HC8" s="58"/>
      <c r="HD8" s="58"/>
      <c r="HE8" s="58"/>
      <c r="HF8" s="58"/>
      <c r="HG8" s="58"/>
      <c r="HH8" s="58"/>
      <c r="HI8" s="58"/>
      <c r="HJ8" s="58"/>
      <c r="HK8" s="58"/>
      <c r="HL8" s="58"/>
      <c r="HM8" s="58"/>
      <c r="HN8" s="58"/>
      <c r="HO8" s="58"/>
      <c r="HP8" s="58"/>
      <c r="HQ8" s="58"/>
      <c r="HR8" s="58"/>
      <c r="HS8" s="58"/>
      <c r="HT8" s="58"/>
      <c r="HU8" s="58"/>
      <c r="HV8" s="58"/>
      <c r="HW8" s="58"/>
      <c r="HX8" s="58"/>
      <c r="HY8" s="58"/>
      <c r="HZ8" s="58"/>
      <c r="IA8" s="58"/>
      <c r="IB8" s="58"/>
      <c r="IC8" s="58"/>
      <c r="ID8" s="58"/>
      <c r="IE8" s="58"/>
      <c r="IF8" s="58"/>
      <c r="IG8" s="58"/>
      <c r="IH8" s="58"/>
      <c r="II8" s="58"/>
      <c r="IJ8" s="58"/>
      <c r="IK8" s="58"/>
      <c r="IL8" s="58"/>
      <c r="IM8" s="58"/>
      <c r="IN8" s="58"/>
      <c r="IO8" s="58"/>
      <c r="IP8" s="58"/>
      <c r="IQ8" s="58"/>
      <c r="IR8" s="58"/>
      <c r="IS8" s="58"/>
      <c r="IT8" s="58"/>
    </row>
    <row r="9" spans="1:254" x14ac:dyDescent="0.25">
      <c r="A9" s="112">
        <v>2</v>
      </c>
      <c r="B9" s="93" t="s">
        <v>112</v>
      </c>
      <c r="C9" s="94" t="s">
        <v>95</v>
      </c>
      <c r="D9" s="95">
        <v>7000000</v>
      </c>
      <c r="E9" s="95">
        <v>2000000</v>
      </c>
      <c r="F9" s="95">
        <v>730000</v>
      </c>
      <c r="G9" s="95">
        <v>2000000</v>
      </c>
      <c r="H9" s="95">
        <v>2000000</v>
      </c>
      <c r="I9" s="96">
        <f>D9+E9+F9+G9+H9</f>
        <v>13730000</v>
      </c>
      <c r="J9" s="97">
        <v>26</v>
      </c>
      <c r="K9" s="92">
        <f t="shared" ref="K9:K13" si="13">I9/26*J9</f>
        <v>13730000.000000002</v>
      </c>
      <c r="L9" s="92">
        <f t="shared" si="2"/>
        <v>9000000</v>
      </c>
      <c r="M9" s="98">
        <f t="shared" si="3"/>
        <v>180000</v>
      </c>
      <c r="N9" s="98">
        <f t="shared" si="4"/>
        <v>1575000</v>
      </c>
      <c r="O9" s="98">
        <f t="shared" si="5"/>
        <v>270000</v>
      </c>
      <c r="P9" s="98">
        <f t="shared" si="6"/>
        <v>90000</v>
      </c>
      <c r="Q9" s="98">
        <f t="shared" si="7"/>
        <v>2115000</v>
      </c>
      <c r="R9" s="98">
        <f t="shared" si="8"/>
        <v>720000</v>
      </c>
      <c r="S9" s="98">
        <f t="shared" si="9"/>
        <v>135000</v>
      </c>
      <c r="T9" s="98">
        <f t="shared" si="10"/>
        <v>90000</v>
      </c>
      <c r="U9" s="98">
        <f t="shared" si="11"/>
        <v>945000</v>
      </c>
      <c r="V9" s="95"/>
      <c r="W9" s="95"/>
      <c r="X9" s="99">
        <f t="shared" si="12"/>
        <v>12785000.000000002</v>
      </c>
      <c r="Y9" s="95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8"/>
      <c r="DT9" s="58"/>
      <c r="DU9" s="58"/>
      <c r="DV9" s="58"/>
      <c r="DW9" s="58"/>
      <c r="DX9" s="58"/>
      <c r="DY9" s="58"/>
      <c r="DZ9" s="58"/>
      <c r="EA9" s="58"/>
      <c r="EB9" s="58"/>
      <c r="EC9" s="58"/>
      <c r="ED9" s="58"/>
      <c r="EE9" s="58"/>
      <c r="EF9" s="58"/>
      <c r="EG9" s="58"/>
      <c r="EH9" s="58"/>
      <c r="EI9" s="58"/>
      <c r="EJ9" s="58"/>
      <c r="EK9" s="58"/>
      <c r="EL9" s="58"/>
      <c r="EM9" s="58"/>
      <c r="EN9" s="58"/>
      <c r="EO9" s="58"/>
      <c r="EP9" s="58"/>
      <c r="EQ9" s="58"/>
      <c r="ER9" s="58"/>
      <c r="ES9" s="58"/>
      <c r="ET9" s="58"/>
      <c r="EU9" s="58"/>
      <c r="EV9" s="58"/>
      <c r="EW9" s="58"/>
      <c r="EX9" s="58"/>
      <c r="EY9" s="58"/>
      <c r="EZ9" s="58"/>
      <c r="FA9" s="58"/>
      <c r="FB9" s="58"/>
      <c r="FC9" s="58"/>
      <c r="FD9" s="58"/>
      <c r="FE9" s="58"/>
      <c r="FF9" s="58"/>
      <c r="FG9" s="58"/>
      <c r="FH9" s="58"/>
      <c r="FI9" s="58"/>
      <c r="FJ9" s="58"/>
      <c r="FK9" s="58"/>
      <c r="FL9" s="58"/>
      <c r="FM9" s="58"/>
      <c r="FN9" s="58"/>
      <c r="FO9" s="58"/>
      <c r="FP9" s="58"/>
      <c r="FQ9" s="58"/>
      <c r="FR9" s="58"/>
      <c r="FS9" s="58"/>
      <c r="FT9" s="58"/>
      <c r="FU9" s="58"/>
      <c r="FV9" s="58"/>
      <c r="FW9" s="58"/>
      <c r="FX9" s="58"/>
      <c r="FY9" s="58"/>
      <c r="FZ9" s="58"/>
      <c r="GA9" s="58"/>
      <c r="GB9" s="58"/>
      <c r="GC9" s="58"/>
      <c r="GD9" s="58"/>
      <c r="GE9" s="58"/>
      <c r="GF9" s="58"/>
      <c r="GG9" s="58"/>
      <c r="GH9" s="58"/>
      <c r="GI9" s="58"/>
      <c r="GJ9" s="58"/>
      <c r="GK9" s="58"/>
      <c r="GL9" s="58"/>
      <c r="GM9" s="58"/>
      <c r="GN9" s="58"/>
      <c r="GO9" s="58"/>
      <c r="GP9" s="58"/>
      <c r="GQ9" s="58"/>
      <c r="GR9" s="58"/>
      <c r="GS9" s="58"/>
      <c r="GT9" s="58"/>
      <c r="GU9" s="58"/>
      <c r="GV9" s="58"/>
      <c r="GW9" s="58"/>
      <c r="GX9" s="58"/>
      <c r="GY9" s="58"/>
      <c r="GZ9" s="58"/>
      <c r="HA9" s="58"/>
      <c r="HB9" s="58"/>
      <c r="HC9" s="58"/>
      <c r="HD9" s="58"/>
      <c r="HE9" s="58"/>
      <c r="HF9" s="58"/>
      <c r="HG9" s="58"/>
      <c r="HH9" s="58"/>
      <c r="HI9" s="58"/>
      <c r="HJ9" s="58"/>
      <c r="HK9" s="58"/>
      <c r="HL9" s="58"/>
      <c r="HM9" s="58"/>
      <c r="HN9" s="58"/>
      <c r="HO9" s="58"/>
      <c r="HP9" s="58"/>
      <c r="HQ9" s="58"/>
      <c r="HR9" s="58"/>
      <c r="HS9" s="58"/>
      <c r="HT9" s="58"/>
      <c r="HU9" s="58"/>
      <c r="HV9" s="58"/>
      <c r="HW9" s="58"/>
      <c r="HX9" s="58"/>
      <c r="HY9" s="58"/>
      <c r="HZ9" s="58"/>
      <c r="IA9" s="58"/>
      <c r="IB9" s="58"/>
      <c r="IC9" s="58"/>
      <c r="ID9" s="58"/>
      <c r="IE9" s="58"/>
      <c r="IF9" s="58"/>
      <c r="IG9" s="58"/>
      <c r="IH9" s="58"/>
      <c r="II9" s="58"/>
      <c r="IJ9" s="58"/>
      <c r="IK9" s="58"/>
      <c r="IL9" s="58"/>
      <c r="IM9" s="58"/>
      <c r="IN9" s="58"/>
      <c r="IO9" s="58"/>
      <c r="IP9" s="58"/>
      <c r="IQ9" s="58"/>
      <c r="IR9" s="58"/>
      <c r="IS9" s="58"/>
      <c r="IT9" s="58"/>
    </row>
    <row r="10" spans="1:254" x14ac:dyDescent="0.25">
      <c r="A10" s="112">
        <v>3</v>
      </c>
      <c r="B10" s="93" t="s">
        <v>113</v>
      </c>
      <c r="C10" s="94" t="s">
        <v>96</v>
      </c>
      <c r="D10" s="95">
        <v>7000000</v>
      </c>
      <c r="E10" s="95">
        <v>1000000</v>
      </c>
      <c r="F10" s="95">
        <v>730000</v>
      </c>
      <c r="G10" s="95">
        <v>2000000</v>
      </c>
      <c r="H10" s="95">
        <v>2000000</v>
      </c>
      <c r="I10" s="96">
        <f t="shared" si="1"/>
        <v>12730000</v>
      </c>
      <c r="J10" s="97">
        <v>25</v>
      </c>
      <c r="K10" s="92">
        <f t="shared" si="13"/>
        <v>12240384.615384616</v>
      </c>
      <c r="L10" s="92">
        <f t="shared" si="2"/>
        <v>8000000</v>
      </c>
      <c r="M10" s="98">
        <f t="shared" si="3"/>
        <v>160000</v>
      </c>
      <c r="N10" s="98">
        <f t="shared" si="4"/>
        <v>1400000</v>
      </c>
      <c r="O10" s="98">
        <f t="shared" si="5"/>
        <v>240000</v>
      </c>
      <c r="P10" s="98">
        <f t="shared" si="6"/>
        <v>80000</v>
      </c>
      <c r="Q10" s="98">
        <f t="shared" si="7"/>
        <v>1880000</v>
      </c>
      <c r="R10" s="98">
        <f t="shared" si="8"/>
        <v>640000</v>
      </c>
      <c r="S10" s="98">
        <f t="shared" si="9"/>
        <v>120000</v>
      </c>
      <c r="T10" s="98">
        <f t="shared" si="10"/>
        <v>80000</v>
      </c>
      <c r="U10" s="98">
        <f t="shared" si="11"/>
        <v>840000</v>
      </c>
      <c r="V10" s="95"/>
      <c r="W10" s="95"/>
      <c r="X10" s="99">
        <f t="shared" si="12"/>
        <v>11400384.615384616</v>
      </c>
      <c r="Y10" s="95"/>
      <c r="Z10" s="58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8"/>
      <c r="CP10" s="58"/>
      <c r="CQ10" s="58"/>
      <c r="CR10" s="58"/>
      <c r="CS10" s="58"/>
      <c r="CT10" s="58"/>
      <c r="CU10" s="58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8"/>
      <c r="DT10" s="58"/>
      <c r="DU10" s="58"/>
      <c r="DV10" s="58"/>
      <c r="DW10" s="58"/>
      <c r="DX10" s="58"/>
      <c r="DY10" s="58"/>
      <c r="DZ10" s="58"/>
      <c r="EA10" s="58"/>
      <c r="EB10" s="58"/>
      <c r="EC10" s="58"/>
      <c r="ED10" s="58"/>
      <c r="EE10" s="58"/>
      <c r="EF10" s="58"/>
      <c r="EG10" s="58"/>
      <c r="EH10" s="58"/>
      <c r="EI10" s="58"/>
      <c r="EJ10" s="58"/>
      <c r="EK10" s="58"/>
      <c r="EL10" s="58"/>
      <c r="EM10" s="58"/>
      <c r="EN10" s="58"/>
      <c r="EO10" s="58"/>
      <c r="EP10" s="58"/>
      <c r="EQ10" s="58"/>
      <c r="ER10" s="58"/>
      <c r="ES10" s="58"/>
      <c r="ET10" s="58"/>
      <c r="EU10" s="58"/>
      <c r="EV10" s="58"/>
      <c r="EW10" s="58"/>
      <c r="EX10" s="58"/>
      <c r="EY10" s="58"/>
      <c r="EZ10" s="58"/>
      <c r="FA10" s="58"/>
      <c r="FB10" s="58"/>
      <c r="FC10" s="58"/>
      <c r="FD10" s="58"/>
      <c r="FE10" s="58"/>
      <c r="FF10" s="58"/>
      <c r="FG10" s="58"/>
      <c r="FH10" s="58"/>
      <c r="FI10" s="58"/>
      <c r="FJ10" s="58"/>
      <c r="FK10" s="58"/>
      <c r="FL10" s="58"/>
      <c r="FM10" s="58"/>
      <c r="FN10" s="58"/>
      <c r="FO10" s="58"/>
      <c r="FP10" s="58"/>
      <c r="FQ10" s="58"/>
      <c r="FR10" s="58"/>
      <c r="FS10" s="58"/>
      <c r="FT10" s="58"/>
      <c r="FU10" s="58"/>
      <c r="FV10" s="58"/>
      <c r="FW10" s="58"/>
      <c r="FX10" s="58"/>
      <c r="FY10" s="58"/>
      <c r="FZ10" s="58"/>
      <c r="GA10" s="58"/>
      <c r="GB10" s="58"/>
      <c r="GC10" s="58"/>
      <c r="GD10" s="58"/>
      <c r="GE10" s="58"/>
      <c r="GF10" s="58"/>
      <c r="GG10" s="58"/>
      <c r="GH10" s="58"/>
      <c r="GI10" s="58"/>
      <c r="GJ10" s="58"/>
      <c r="GK10" s="58"/>
      <c r="GL10" s="58"/>
      <c r="GM10" s="58"/>
      <c r="GN10" s="58"/>
      <c r="GO10" s="58"/>
      <c r="GP10" s="58"/>
      <c r="GQ10" s="58"/>
      <c r="GR10" s="58"/>
      <c r="GS10" s="58"/>
      <c r="GT10" s="58"/>
      <c r="GU10" s="58"/>
      <c r="GV10" s="58"/>
      <c r="GW10" s="58"/>
      <c r="GX10" s="58"/>
      <c r="GY10" s="58"/>
      <c r="GZ10" s="58"/>
      <c r="HA10" s="58"/>
      <c r="HB10" s="58"/>
      <c r="HC10" s="58"/>
      <c r="HD10" s="58"/>
      <c r="HE10" s="58"/>
      <c r="HF10" s="58"/>
      <c r="HG10" s="58"/>
      <c r="HH10" s="58"/>
      <c r="HI10" s="58"/>
      <c r="HJ10" s="58"/>
      <c r="HK10" s="58"/>
      <c r="HL10" s="58"/>
      <c r="HM10" s="58"/>
      <c r="HN10" s="58"/>
      <c r="HO10" s="58"/>
      <c r="HP10" s="58"/>
      <c r="HQ10" s="58"/>
      <c r="HR10" s="58"/>
      <c r="HS10" s="58"/>
      <c r="HT10" s="58"/>
      <c r="HU10" s="58"/>
      <c r="HV10" s="58"/>
      <c r="HW10" s="58"/>
      <c r="HX10" s="58"/>
      <c r="HY10" s="58"/>
      <c r="HZ10" s="58"/>
      <c r="IA10" s="58"/>
      <c r="IB10" s="58"/>
      <c r="IC10" s="58"/>
      <c r="ID10" s="58"/>
      <c r="IE10" s="58"/>
      <c r="IF10" s="58"/>
      <c r="IG10" s="58"/>
      <c r="IH10" s="58"/>
      <c r="II10" s="58"/>
      <c r="IJ10" s="58"/>
      <c r="IK10" s="58"/>
      <c r="IL10" s="58"/>
      <c r="IM10" s="58"/>
      <c r="IN10" s="58"/>
      <c r="IO10" s="58"/>
      <c r="IP10" s="58"/>
      <c r="IQ10" s="58"/>
      <c r="IR10" s="58"/>
      <c r="IS10" s="58"/>
      <c r="IT10" s="58"/>
    </row>
    <row r="11" spans="1:254" x14ac:dyDescent="0.25">
      <c r="A11" s="112">
        <v>4</v>
      </c>
      <c r="B11" s="93" t="s">
        <v>259</v>
      </c>
      <c r="C11" s="94" t="s">
        <v>97</v>
      </c>
      <c r="D11" s="95">
        <v>5000000</v>
      </c>
      <c r="E11" s="95"/>
      <c r="F11" s="95">
        <v>730000</v>
      </c>
      <c r="G11" s="95">
        <v>400000</v>
      </c>
      <c r="H11" s="95">
        <v>400000</v>
      </c>
      <c r="I11" s="96">
        <f t="shared" si="1"/>
        <v>6530000</v>
      </c>
      <c r="J11" s="97">
        <v>26</v>
      </c>
      <c r="K11" s="92">
        <f t="shared" si="13"/>
        <v>6530000</v>
      </c>
      <c r="L11" s="92">
        <f t="shared" si="2"/>
        <v>5000000</v>
      </c>
      <c r="M11" s="98">
        <f t="shared" si="3"/>
        <v>100000</v>
      </c>
      <c r="N11" s="98">
        <f t="shared" si="4"/>
        <v>875000</v>
      </c>
      <c r="O11" s="98">
        <f t="shared" si="5"/>
        <v>150000</v>
      </c>
      <c r="P11" s="98">
        <f t="shared" si="6"/>
        <v>50000</v>
      </c>
      <c r="Q11" s="98">
        <f t="shared" si="7"/>
        <v>1175000</v>
      </c>
      <c r="R11" s="98">
        <f t="shared" si="8"/>
        <v>400000</v>
      </c>
      <c r="S11" s="98">
        <f t="shared" si="9"/>
        <v>75000</v>
      </c>
      <c r="T11" s="98">
        <f t="shared" si="10"/>
        <v>50000</v>
      </c>
      <c r="U11" s="98">
        <f t="shared" si="11"/>
        <v>525000</v>
      </c>
      <c r="V11" s="95"/>
      <c r="W11" s="95"/>
      <c r="X11" s="99">
        <f t="shared" si="12"/>
        <v>6005000</v>
      </c>
      <c r="Y11" s="95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  <c r="DW11" s="58"/>
      <c r="DX11" s="58"/>
      <c r="DY11" s="58"/>
      <c r="DZ11" s="58"/>
      <c r="EA11" s="58"/>
      <c r="EB11" s="58"/>
      <c r="EC11" s="58"/>
      <c r="ED11" s="58"/>
      <c r="EE11" s="58"/>
      <c r="EF11" s="58"/>
      <c r="EG11" s="58"/>
      <c r="EH11" s="58"/>
      <c r="EI11" s="58"/>
      <c r="EJ11" s="58"/>
      <c r="EK11" s="58"/>
      <c r="EL11" s="58"/>
      <c r="EM11" s="58"/>
      <c r="EN11" s="58"/>
      <c r="EO11" s="58"/>
      <c r="EP11" s="58"/>
      <c r="EQ11" s="58"/>
      <c r="ER11" s="58"/>
      <c r="ES11" s="58"/>
      <c r="ET11" s="58"/>
      <c r="EU11" s="58"/>
      <c r="EV11" s="58"/>
      <c r="EW11" s="58"/>
      <c r="EX11" s="58"/>
      <c r="EY11" s="58"/>
      <c r="EZ11" s="58"/>
      <c r="FA11" s="58"/>
      <c r="FB11" s="58"/>
      <c r="FC11" s="58"/>
      <c r="FD11" s="58"/>
      <c r="FE11" s="58"/>
      <c r="FF11" s="58"/>
      <c r="FG11" s="58"/>
      <c r="FH11" s="58"/>
      <c r="FI11" s="58"/>
      <c r="FJ11" s="58"/>
      <c r="FK11" s="58"/>
      <c r="FL11" s="58"/>
      <c r="FM11" s="58"/>
      <c r="FN11" s="58"/>
      <c r="FO11" s="58"/>
      <c r="FP11" s="58"/>
      <c r="FQ11" s="58"/>
      <c r="FR11" s="58"/>
      <c r="FS11" s="58"/>
      <c r="FT11" s="58"/>
      <c r="FU11" s="58"/>
      <c r="FV11" s="58"/>
      <c r="FW11" s="58"/>
      <c r="FX11" s="58"/>
      <c r="FY11" s="58"/>
      <c r="FZ11" s="58"/>
      <c r="GA11" s="58"/>
      <c r="GB11" s="58"/>
      <c r="GC11" s="58"/>
      <c r="GD11" s="58"/>
      <c r="GE11" s="58"/>
      <c r="GF11" s="58"/>
      <c r="GG11" s="58"/>
      <c r="GH11" s="58"/>
      <c r="GI11" s="58"/>
      <c r="GJ11" s="58"/>
      <c r="GK11" s="58"/>
      <c r="GL11" s="58"/>
      <c r="GM11" s="58"/>
      <c r="GN11" s="58"/>
      <c r="GO11" s="58"/>
      <c r="GP11" s="58"/>
      <c r="GQ11" s="58"/>
      <c r="GR11" s="58"/>
      <c r="GS11" s="58"/>
      <c r="GT11" s="58"/>
      <c r="GU11" s="58"/>
      <c r="GV11" s="58"/>
      <c r="GW11" s="58"/>
      <c r="GX11" s="58"/>
      <c r="GY11" s="58"/>
      <c r="GZ11" s="58"/>
      <c r="HA11" s="58"/>
      <c r="HB11" s="58"/>
      <c r="HC11" s="58"/>
      <c r="HD11" s="58"/>
      <c r="HE11" s="58"/>
      <c r="HF11" s="58"/>
      <c r="HG11" s="58"/>
      <c r="HH11" s="58"/>
      <c r="HI11" s="58"/>
      <c r="HJ11" s="58"/>
      <c r="HK11" s="58"/>
      <c r="HL11" s="58"/>
      <c r="HM11" s="58"/>
      <c r="HN11" s="58"/>
      <c r="HO11" s="58"/>
      <c r="HP11" s="58"/>
      <c r="HQ11" s="58"/>
      <c r="HR11" s="58"/>
      <c r="HS11" s="58"/>
      <c r="HT11" s="58"/>
      <c r="HU11" s="58"/>
      <c r="HV11" s="58"/>
      <c r="HW11" s="58"/>
      <c r="HX11" s="58"/>
      <c r="HY11" s="58"/>
      <c r="HZ11" s="58"/>
      <c r="IA11" s="58"/>
      <c r="IB11" s="58"/>
      <c r="IC11" s="58"/>
      <c r="ID11" s="58"/>
      <c r="IE11" s="58"/>
      <c r="IF11" s="58"/>
      <c r="IG11" s="58"/>
      <c r="IH11" s="58"/>
      <c r="II11" s="58"/>
      <c r="IJ11" s="58"/>
      <c r="IK11" s="58"/>
      <c r="IL11" s="58"/>
      <c r="IM11" s="58"/>
      <c r="IN11" s="58"/>
      <c r="IO11" s="58"/>
      <c r="IP11" s="58"/>
      <c r="IQ11" s="58"/>
      <c r="IR11" s="58"/>
      <c r="IS11" s="58"/>
      <c r="IT11" s="58"/>
    </row>
    <row r="12" spans="1:254" x14ac:dyDescent="0.25">
      <c r="A12" s="112">
        <v>6</v>
      </c>
      <c r="B12" s="93" t="s">
        <v>260</v>
      </c>
      <c r="C12" s="94" t="s">
        <v>98</v>
      </c>
      <c r="D12" s="95">
        <v>5000000</v>
      </c>
      <c r="E12" s="95"/>
      <c r="F12" s="95">
        <v>730000</v>
      </c>
      <c r="G12" s="95">
        <v>400000</v>
      </c>
      <c r="H12" s="95">
        <v>400000</v>
      </c>
      <c r="I12" s="96">
        <f>D12+E12+F12+G12+H12</f>
        <v>6530000</v>
      </c>
      <c r="J12" s="97">
        <v>24</v>
      </c>
      <c r="K12" s="92">
        <f>I12/26*J12</f>
        <v>6027692.307692308</v>
      </c>
      <c r="L12" s="92">
        <f>D12+E12</f>
        <v>5000000</v>
      </c>
      <c r="M12" s="98">
        <f>$L12*2%</f>
        <v>100000</v>
      </c>
      <c r="N12" s="98">
        <f t="shared" si="4"/>
        <v>875000</v>
      </c>
      <c r="O12" s="98">
        <f>$L12*3%</f>
        <v>150000</v>
      </c>
      <c r="P12" s="98">
        <f>$L12*1%</f>
        <v>50000</v>
      </c>
      <c r="Q12" s="98">
        <f>SUM(M12:P12)</f>
        <v>1175000</v>
      </c>
      <c r="R12" s="98">
        <f>$L12*8%</f>
        <v>400000</v>
      </c>
      <c r="S12" s="98">
        <f>$L12*1.5%</f>
        <v>75000</v>
      </c>
      <c r="T12" s="98">
        <f>$L12*1%</f>
        <v>50000</v>
      </c>
      <c r="U12" s="98">
        <f>SUM(R12:T12)</f>
        <v>525000</v>
      </c>
      <c r="V12" s="95"/>
      <c r="W12" s="100"/>
      <c r="X12" s="99">
        <f>K12-U12-V12-W12</f>
        <v>5502692.307692308</v>
      </c>
      <c r="Y12" s="95"/>
      <c r="Z12" s="58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  <c r="DW12" s="58"/>
      <c r="DX12" s="58"/>
      <c r="DY12" s="58"/>
      <c r="DZ12" s="58"/>
      <c r="EA12" s="58"/>
      <c r="EB12" s="58"/>
      <c r="EC12" s="58"/>
      <c r="ED12" s="58"/>
      <c r="EE12" s="58"/>
      <c r="EF12" s="58"/>
      <c r="EG12" s="58"/>
      <c r="EH12" s="58"/>
      <c r="EI12" s="58"/>
      <c r="EJ12" s="58"/>
      <c r="EK12" s="58"/>
      <c r="EL12" s="58"/>
      <c r="EM12" s="58"/>
      <c r="EN12" s="58"/>
      <c r="EO12" s="58"/>
      <c r="EP12" s="58"/>
      <c r="EQ12" s="58"/>
      <c r="ER12" s="58"/>
      <c r="ES12" s="58"/>
      <c r="ET12" s="58"/>
      <c r="EU12" s="58"/>
      <c r="EV12" s="58"/>
      <c r="EW12" s="58"/>
      <c r="EX12" s="58"/>
      <c r="EY12" s="58"/>
      <c r="EZ12" s="58"/>
      <c r="FA12" s="58"/>
      <c r="FB12" s="58"/>
      <c r="FC12" s="58"/>
      <c r="FD12" s="58"/>
      <c r="FE12" s="58"/>
      <c r="FF12" s="58"/>
      <c r="FG12" s="58"/>
      <c r="FH12" s="58"/>
      <c r="FI12" s="58"/>
      <c r="FJ12" s="58"/>
      <c r="FK12" s="58"/>
      <c r="FL12" s="58"/>
      <c r="FM12" s="58"/>
      <c r="FN12" s="58"/>
      <c r="FO12" s="58"/>
      <c r="FP12" s="58"/>
      <c r="FQ12" s="58"/>
      <c r="FR12" s="58"/>
      <c r="FS12" s="58"/>
      <c r="FT12" s="58"/>
      <c r="FU12" s="58"/>
      <c r="FV12" s="58"/>
      <c r="FW12" s="58"/>
      <c r="FX12" s="58"/>
      <c r="FY12" s="58"/>
      <c r="FZ12" s="58"/>
      <c r="GA12" s="58"/>
      <c r="GB12" s="58"/>
      <c r="GC12" s="58"/>
      <c r="GD12" s="58"/>
      <c r="GE12" s="58"/>
      <c r="GF12" s="58"/>
      <c r="GG12" s="58"/>
      <c r="GH12" s="58"/>
      <c r="GI12" s="58"/>
      <c r="GJ12" s="58"/>
      <c r="GK12" s="58"/>
      <c r="GL12" s="58"/>
      <c r="GM12" s="58"/>
      <c r="GN12" s="58"/>
      <c r="GO12" s="58"/>
      <c r="GP12" s="58"/>
      <c r="GQ12" s="58"/>
      <c r="GR12" s="58"/>
      <c r="GS12" s="58"/>
      <c r="GT12" s="58"/>
      <c r="GU12" s="58"/>
      <c r="GV12" s="58"/>
      <c r="GW12" s="58"/>
      <c r="GX12" s="58"/>
      <c r="GY12" s="58"/>
      <c r="GZ12" s="58"/>
      <c r="HA12" s="58"/>
      <c r="HB12" s="58"/>
      <c r="HC12" s="58"/>
      <c r="HD12" s="58"/>
      <c r="HE12" s="58"/>
      <c r="HF12" s="58"/>
      <c r="HG12" s="58"/>
      <c r="HH12" s="58"/>
      <c r="HI12" s="58"/>
      <c r="HJ12" s="58"/>
      <c r="HK12" s="58"/>
      <c r="HL12" s="58"/>
      <c r="HM12" s="58"/>
      <c r="HN12" s="58"/>
      <c r="HO12" s="58"/>
      <c r="HP12" s="58"/>
      <c r="HQ12" s="58"/>
      <c r="HR12" s="58"/>
      <c r="HS12" s="58"/>
      <c r="HT12" s="58"/>
      <c r="HU12" s="58"/>
      <c r="HV12" s="58"/>
      <c r="HW12" s="58"/>
      <c r="HX12" s="58"/>
      <c r="HY12" s="58"/>
      <c r="HZ12" s="58"/>
      <c r="IA12" s="58"/>
      <c r="IB12" s="58"/>
      <c r="IC12" s="58"/>
      <c r="ID12" s="58"/>
      <c r="IE12" s="58"/>
      <c r="IF12" s="58"/>
      <c r="IG12" s="58"/>
      <c r="IH12" s="58"/>
      <c r="II12" s="58"/>
      <c r="IJ12" s="58"/>
      <c r="IK12" s="58"/>
      <c r="IL12" s="58"/>
      <c r="IM12" s="58"/>
      <c r="IN12" s="58"/>
      <c r="IO12" s="58"/>
      <c r="IP12" s="58"/>
      <c r="IQ12" s="58"/>
      <c r="IR12" s="58"/>
      <c r="IS12" s="58"/>
      <c r="IT12" s="58"/>
    </row>
    <row r="13" spans="1:254" x14ac:dyDescent="0.25">
      <c r="A13" s="112">
        <v>5</v>
      </c>
      <c r="B13" s="93" t="s">
        <v>261</v>
      </c>
      <c r="C13" s="94" t="s">
        <v>99</v>
      </c>
      <c r="D13" s="95">
        <v>5000000</v>
      </c>
      <c r="E13" s="95"/>
      <c r="F13" s="95">
        <v>730000</v>
      </c>
      <c r="G13" s="95"/>
      <c r="H13" s="95"/>
      <c r="I13" s="96">
        <f t="shared" si="1"/>
        <v>5730000</v>
      </c>
      <c r="J13" s="97">
        <v>25</v>
      </c>
      <c r="K13" s="92">
        <f t="shared" si="13"/>
        <v>5509615.384615384</v>
      </c>
      <c r="L13" s="92">
        <f t="shared" si="2"/>
        <v>5000000</v>
      </c>
      <c r="M13" s="98">
        <f t="shared" si="3"/>
        <v>100000</v>
      </c>
      <c r="N13" s="98">
        <f t="shared" si="4"/>
        <v>875000</v>
      </c>
      <c r="O13" s="98">
        <f t="shared" si="5"/>
        <v>150000</v>
      </c>
      <c r="P13" s="98">
        <f t="shared" si="6"/>
        <v>50000</v>
      </c>
      <c r="Q13" s="98">
        <f t="shared" si="7"/>
        <v>1175000</v>
      </c>
      <c r="R13" s="98">
        <f t="shared" si="8"/>
        <v>400000</v>
      </c>
      <c r="S13" s="98">
        <f t="shared" si="9"/>
        <v>75000</v>
      </c>
      <c r="T13" s="98">
        <f t="shared" si="10"/>
        <v>50000</v>
      </c>
      <c r="U13" s="98">
        <f t="shared" si="11"/>
        <v>525000</v>
      </c>
      <c r="V13" s="95"/>
      <c r="W13" s="95"/>
      <c r="X13" s="99">
        <f t="shared" si="12"/>
        <v>4984615.384615384</v>
      </c>
      <c r="Y13" s="95"/>
      <c r="Z13" s="58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  <c r="DW13" s="58"/>
      <c r="DX13" s="58"/>
      <c r="DY13" s="58"/>
      <c r="DZ13" s="58"/>
      <c r="EA13" s="58"/>
      <c r="EB13" s="58"/>
      <c r="EC13" s="58"/>
      <c r="ED13" s="58"/>
      <c r="EE13" s="58"/>
      <c r="EF13" s="58"/>
      <c r="EG13" s="58"/>
      <c r="EH13" s="58"/>
      <c r="EI13" s="58"/>
      <c r="EJ13" s="58"/>
      <c r="EK13" s="58"/>
      <c r="EL13" s="58"/>
      <c r="EM13" s="58"/>
      <c r="EN13" s="58"/>
      <c r="EO13" s="58"/>
      <c r="EP13" s="58"/>
      <c r="EQ13" s="58"/>
      <c r="ER13" s="58"/>
      <c r="ES13" s="58"/>
      <c r="ET13" s="58"/>
      <c r="EU13" s="58"/>
      <c r="EV13" s="58"/>
      <c r="EW13" s="58"/>
      <c r="EX13" s="58"/>
      <c r="EY13" s="58"/>
      <c r="EZ13" s="58"/>
      <c r="FA13" s="58"/>
      <c r="FB13" s="58"/>
      <c r="FC13" s="58"/>
      <c r="FD13" s="58"/>
      <c r="FE13" s="58"/>
      <c r="FF13" s="58"/>
      <c r="FG13" s="58"/>
      <c r="FH13" s="58"/>
      <c r="FI13" s="58"/>
      <c r="FJ13" s="58"/>
      <c r="FK13" s="58"/>
      <c r="FL13" s="58"/>
      <c r="FM13" s="58"/>
      <c r="FN13" s="58"/>
      <c r="FO13" s="58"/>
      <c r="FP13" s="58"/>
      <c r="FQ13" s="58"/>
      <c r="FR13" s="58"/>
      <c r="FS13" s="58"/>
      <c r="FT13" s="58"/>
      <c r="FU13" s="58"/>
      <c r="FV13" s="58"/>
      <c r="FW13" s="58"/>
      <c r="FX13" s="58"/>
      <c r="FY13" s="58"/>
      <c r="FZ13" s="58"/>
      <c r="GA13" s="58"/>
      <c r="GB13" s="58"/>
      <c r="GC13" s="58"/>
      <c r="GD13" s="58"/>
      <c r="GE13" s="58"/>
      <c r="GF13" s="58"/>
      <c r="GG13" s="58"/>
      <c r="GH13" s="58"/>
      <c r="GI13" s="58"/>
      <c r="GJ13" s="58"/>
      <c r="GK13" s="58"/>
      <c r="GL13" s="58"/>
      <c r="GM13" s="58"/>
      <c r="GN13" s="58"/>
      <c r="GO13" s="58"/>
      <c r="GP13" s="58"/>
      <c r="GQ13" s="58"/>
      <c r="GR13" s="58"/>
      <c r="GS13" s="58"/>
      <c r="GT13" s="58"/>
      <c r="GU13" s="58"/>
      <c r="GV13" s="58"/>
      <c r="GW13" s="58"/>
      <c r="GX13" s="58"/>
      <c r="GY13" s="58"/>
      <c r="GZ13" s="58"/>
      <c r="HA13" s="58"/>
      <c r="HB13" s="58"/>
      <c r="HC13" s="58"/>
      <c r="HD13" s="58"/>
      <c r="HE13" s="58"/>
      <c r="HF13" s="58"/>
      <c r="HG13" s="58"/>
      <c r="HH13" s="58"/>
      <c r="HI13" s="58"/>
      <c r="HJ13" s="58"/>
      <c r="HK13" s="58"/>
      <c r="HL13" s="58"/>
      <c r="HM13" s="58"/>
      <c r="HN13" s="58"/>
      <c r="HO13" s="58"/>
      <c r="HP13" s="58"/>
      <c r="HQ13" s="58"/>
      <c r="HR13" s="58"/>
      <c r="HS13" s="58"/>
      <c r="HT13" s="58"/>
      <c r="HU13" s="58"/>
      <c r="HV13" s="58"/>
      <c r="HW13" s="58"/>
      <c r="HX13" s="58"/>
      <c r="HY13" s="58"/>
      <c r="HZ13" s="58"/>
      <c r="IA13" s="58"/>
      <c r="IB13" s="58"/>
      <c r="IC13" s="58"/>
      <c r="ID13" s="58"/>
      <c r="IE13" s="58"/>
      <c r="IF13" s="58"/>
      <c r="IG13" s="58"/>
      <c r="IH13" s="58"/>
      <c r="II13" s="58"/>
      <c r="IJ13" s="58"/>
      <c r="IK13" s="58"/>
      <c r="IL13" s="58"/>
      <c r="IM13" s="58"/>
      <c r="IN13" s="58"/>
      <c r="IO13" s="58"/>
      <c r="IP13" s="58"/>
      <c r="IQ13" s="58"/>
      <c r="IR13" s="58"/>
      <c r="IS13" s="58"/>
      <c r="IT13" s="58"/>
    </row>
    <row r="14" spans="1:254" x14ac:dyDescent="0.25">
      <c r="A14" s="113"/>
      <c r="B14" s="101"/>
      <c r="C14" s="102"/>
      <c r="D14" s="103"/>
      <c r="E14" s="103"/>
      <c r="F14" s="103"/>
      <c r="G14" s="103"/>
      <c r="H14" s="103"/>
      <c r="I14" s="103"/>
      <c r="J14" s="104"/>
      <c r="K14" s="105"/>
      <c r="L14" s="103"/>
      <c r="M14" s="103"/>
      <c r="N14" s="103"/>
      <c r="O14" s="105"/>
      <c r="P14" s="103"/>
      <c r="Q14" s="103"/>
      <c r="R14" s="103"/>
      <c r="S14" s="105"/>
      <c r="T14" s="103"/>
      <c r="U14" s="103"/>
      <c r="V14" s="103"/>
      <c r="W14" s="103"/>
      <c r="X14" s="103"/>
      <c r="Y14" s="101"/>
    </row>
    <row r="15" spans="1:254" x14ac:dyDescent="0.25">
      <c r="A15" s="111" t="s">
        <v>100</v>
      </c>
      <c r="B15" s="90" t="s">
        <v>101</v>
      </c>
      <c r="C15" s="91"/>
      <c r="D15" s="92">
        <f t="shared" ref="D15:X15" si="14">SUBTOTAL(9,D16:D18)</f>
        <v>12000000</v>
      </c>
      <c r="E15" s="92">
        <f t="shared" si="14"/>
        <v>1000000</v>
      </c>
      <c r="F15" s="92">
        <f t="shared" si="14"/>
        <v>1460000</v>
      </c>
      <c r="G15" s="92">
        <f t="shared" si="14"/>
        <v>2500000</v>
      </c>
      <c r="H15" s="92">
        <f t="shared" si="14"/>
        <v>2500000</v>
      </c>
      <c r="I15" s="92">
        <f t="shared" si="14"/>
        <v>19460000</v>
      </c>
      <c r="J15" s="92">
        <f t="shared" si="14"/>
        <v>39</v>
      </c>
      <c r="K15" s="92">
        <f t="shared" si="14"/>
        <v>14710384.615384616</v>
      </c>
      <c r="L15" s="92">
        <f t="shared" si="14"/>
        <v>13000000</v>
      </c>
      <c r="M15" s="92">
        <f t="shared" si="14"/>
        <v>260000</v>
      </c>
      <c r="N15" s="92">
        <f t="shared" si="14"/>
        <v>2275000</v>
      </c>
      <c r="O15" s="92">
        <f t="shared" si="14"/>
        <v>390000</v>
      </c>
      <c r="P15" s="92">
        <f t="shared" si="14"/>
        <v>130000</v>
      </c>
      <c r="Q15" s="92">
        <f t="shared" si="14"/>
        <v>3055000</v>
      </c>
      <c r="R15" s="92">
        <f t="shared" si="14"/>
        <v>1040000</v>
      </c>
      <c r="S15" s="92">
        <f t="shared" si="14"/>
        <v>195000</v>
      </c>
      <c r="T15" s="92">
        <f t="shared" si="14"/>
        <v>130000</v>
      </c>
      <c r="U15" s="92">
        <f t="shared" si="14"/>
        <v>1365000</v>
      </c>
      <c r="V15" s="92">
        <f t="shared" si="14"/>
        <v>0</v>
      </c>
      <c r="W15" s="92">
        <f t="shared" si="14"/>
        <v>0</v>
      </c>
      <c r="X15" s="92">
        <f t="shared" si="14"/>
        <v>13345384.615384616</v>
      </c>
      <c r="Y15" s="92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57"/>
      <c r="AX15" s="57"/>
      <c r="AY15" s="57"/>
      <c r="AZ15" s="57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  <c r="FB15" s="57"/>
      <c r="FC15" s="57"/>
      <c r="FD15" s="57"/>
      <c r="FE15" s="57"/>
      <c r="FF15" s="57"/>
      <c r="FG15" s="57"/>
      <c r="FH15" s="57"/>
      <c r="FI15" s="57"/>
      <c r="FJ15" s="57"/>
      <c r="FK15" s="57"/>
      <c r="FL15" s="57"/>
      <c r="FM15" s="57"/>
      <c r="FN15" s="57"/>
      <c r="FO15" s="57"/>
      <c r="FP15" s="57"/>
      <c r="FQ15" s="57"/>
      <c r="FR15" s="57"/>
      <c r="FS15" s="57"/>
      <c r="FT15" s="57"/>
      <c r="FU15" s="57"/>
      <c r="FV15" s="57"/>
      <c r="FW15" s="57"/>
      <c r="FX15" s="57"/>
      <c r="FY15" s="57"/>
      <c r="FZ15" s="57"/>
      <c r="GA15" s="57"/>
      <c r="GB15" s="57"/>
      <c r="GC15" s="57"/>
      <c r="GD15" s="57"/>
      <c r="GE15" s="57"/>
      <c r="GF15" s="57"/>
      <c r="GG15" s="57"/>
      <c r="GH15" s="57"/>
      <c r="GI15" s="57"/>
      <c r="GJ15" s="57"/>
      <c r="GK15" s="57"/>
      <c r="GL15" s="57"/>
      <c r="GM15" s="57"/>
      <c r="GN15" s="57"/>
      <c r="GO15" s="57"/>
      <c r="GP15" s="57"/>
      <c r="GQ15" s="57"/>
      <c r="GR15" s="57"/>
      <c r="GS15" s="57"/>
      <c r="GT15" s="57"/>
      <c r="GU15" s="57"/>
      <c r="GV15" s="57"/>
      <c r="GW15" s="57"/>
      <c r="GX15" s="57"/>
      <c r="GY15" s="57"/>
      <c r="GZ15" s="57"/>
      <c r="HA15" s="57"/>
      <c r="HB15" s="57"/>
      <c r="HC15" s="57"/>
      <c r="HD15" s="57"/>
      <c r="HE15" s="57"/>
      <c r="HF15" s="57"/>
      <c r="HG15" s="57"/>
      <c r="HH15" s="57"/>
      <c r="HI15" s="57"/>
      <c r="HJ15" s="57"/>
      <c r="HK15" s="57"/>
      <c r="HL15" s="57"/>
      <c r="HM15" s="57"/>
      <c r="HN15" s="57"/>
      <c r="HO15" s="57"/>
      <c r="HP15" s="57"/>
      <c r="HQ15" s="57"/>
      <c r="HR15" s="57"/>
      <c r="HS15" s="57"/>
      <c r="HT15" s="57"/>
      <c r="HU15" s="57"/>
      <c r="HV15" s="57"/>
      <c r="HW15" s="57"/>
      <c r="HX15" s="57"/>
      <c r="HY15" s="57"/>
      <c r="HZ15" s="57"/>
      <c r="IA15" s="57"/>
      <c r="IB15" s="57"/>
      <c r="IC15" s="57"/>
      <c r="ID15" s="57"/>
      <c r="IE15" s="57"/>
      <c r="IF15" s="57"/>
      <c r="IG15" s="57"/>
      <c r="IH15" s="57"/>
      <c r="II15" s="57"/>
      <c r="IJ15" s="57"/>
      <c r="IK15" s="57"/>
      <c r="IL15" s="57"/>
      <c r="IM15" s="57"/>
      <c r="IN15" s="57"/>
      <c r="IO15" s="57"/>
      <c r="IP15" s="57"/>
      <c r="IQ15" s="57"/>
      <c r="IR15" s="57"/>
      <c r="IS15" s="57"/>
      <c r="IT15" s="57"/>
    </row>
    <row r="16" spans="1:254" x14ac:dyDescent="0.25">
      <c r="A16" s="112">
        <v>7</v>
      </c>
      <c r="B16" s="93" t="s">
        <v>262</v>
      </c>
      <c r="C16" s="94" t="s">
        <v>102</v>
      </c>
      <c r="D16" s="95">
        <v>7000000</v>
      </c>
      <c r="E16" s="95">
        <v>1000000</v>
      </c>
      <c r="F16" s="95">
        <v>730000</v>
      </c>
      <c r="G16" s="95">
        <v>2000000</v>
      </c>
      <c r="H16" s="95">
        <v>2000000</v>
      </c>
      <c r="I16" s="96">
        <f>D16+E16+F16+G16+H16</f>
        <v>12730000</v>
      </c>
      <c r="J16" s="97">
        <v>20</v>
      </c>
      <c r="K16" s="92">
        <f>I16/26*J16</f>
        <v>9792307.692307692</v>
      </c>
      <c r="L16" s="92">
        <f>D16+E16</f>
        <v>8000000</v>
      </c>
      <c r="M16" s="98">
        <f>$L16*2%</f>
        <v>160000</v>
      </c>
      <c r="N16" s="98">
        <f>$L16*17.5%</f>
        <v>1400000</v>
      </c>
      <c r="O16" s="98">
        <f>$L16*3%</f>
        <v>240000</v>
      </c>
      <c r="P16" s="98">
        <f>$L16*1%</f>
        <v>80000</v>
      </c>
      <c r="Q16" s="98">
        <f>SUM(M16:P16)</f>
        <v>1880000</v>
      </c>
      <c r="R16" s="98">
        <f>$L16*8%</f>
        <v>640000</v>
      </c>
      <c r="S16" s="98">
        <f>$L16*1.5%</f>
        <v>120000</v>
      </c>
      <c r="T16" s="98">
        <f>$L16*1%</f>
        <v>80000</v>
      </c>
      <c r="U16" s="98">
        <f>SUM(R16:T16)</f>
        <v>840000</v>
      </c>
      <c r="V16" s="95"/>
      <c r="W16" s="95"/>
      <c r="X16" s="99">
        <f>K16-U16-V16-W16</f>
        <v>8952307.692307692</v>
      </c>
      <c r="Y16" s="95"/>
      <c r="Z16" s="58"/>
      <c r="AA16" s="58"/>
      <c r="AB16" s="58"/>
      <c r="AC16" s="58"/>
      <c r="AD16" s="58"/>
      <c r="AE16" s="58"/>
      <c r="AF16" s="58"/>
      <c r="AG16" s="58"/>
      <c r="AH16" s="58"/>
      <c r="AI16" s="58"/>
      <c r="AJ16" s="58"/>
      <c r="AK16" s="58"/>
      <c r="AL16" s="58"/>
      <c r="AM16" s="58"/>
      <c r="AN16" s="58"/>
      <c r="AO16" s="58"/>
      <c r="AP16" s="58"/>
      <c r="AQ16" s="58"/>
      <c r="AR16" s="58"/>
      <c r="AS16" s="58"/>
      <c r="AT16" s="58"/>
      <c r="AU16" s="58"/>
      <c r="AV16" s="58"/>
      <c r="AW16" s="58"/>
      <c r="AX16" s="58"/>
      <c r="AY16" s="58"/>
      <c r="AZ16" s="58"/>
      <c r="BA16" s="58"/>
      <c r="BB16" s="58"/>
      <c r="BC16" s="58"/>
      <c r="BD16" s="58"/>
      <c r="BE16" s="58"/>
      <c r="BF16" s="58"/>
      <c r="BG16" s="58"/>
      <c r="BH16" s="58"/>
      <c r="BI16" s="58"/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58"/>
      <c r="CB16" s="58"/>
      <c r="CC16" s="58"/>
      <c r="CD16" s="58"/>
      <c r="CE16" s="58"/>
      <c r="CF16" s="58"/>
      <c r="CG16" s="58"/>
      <c r="CH16" s="58"/>
      <c r="CI16" s="58"/>
      <c r="CJ16" s="58"/>
      <c r="CK16" s="58"/>
      <c r="CL16" s="58"/>
      <c r="CM16" s="58"/>
      <c r="CN16" s="58"/>
      <c r="CO16" s="58"/>
      <c r="CP16" s="58"/>
      <c r="CQ16" s="58"/>
      <c r="CR16" s="58"/>
      <c r="CS16" s="58"/>
      <c r="CT16" s="58"/>
      <c r="CU16" s="58"/>
      <c r="CV16" s="58"/>
      <c r="CW16" s="58"/>
      <c r="CX16" s="58"/>
      <c r="CY16" s="58"/>
      <c r="CZ16" s="58"/>
      <c r="DA16" s="58"/>
      <c r="DB16" s="58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  <c r="DR16" s="58"/>
      <c r="DS16" s="58"/>
      <c r="DT16" s="58"/>
      <c r="DU16" s="58"/>
      <c r="DV16" s="58"/>
      <c r="DW16" s="58"/>
      <c r="DX16" s="58"/>
      <c r="DY16" s="58"/>
      <c r="DZ16" s="58"/>
      <c r="EA16" s="58"/>
      <c r="EB16" s="58"/>
      <c r="EC16" s="58"/>
      <c r="ED16" s="58"/>
      <c r="EE16" s="58"/>
      <c r="EF16" s="58"/>
      <c r="EG16" s="58"/>
      <c r="EH16" s="58"/>
      <c r="EI16" s="58"/>
      <c r="EJ16" s="58"/>
      <c r="EK16" s="58"/>
      <c r="EL16" s="58"/>
      <c r="EM16" s="58"/>
      <c r="EN16" s="58"/>
      <c r="EO16" s="58"/>
      <c r="EP16" s="58"/>
      <c r="EQ16" s="58"/>
      <c r="ER16" s="58"/>
      <c r="ES16" s="58"/>
      <c r="ET16" s="58"/>
      <c r="EU16" s="58"/>
      <c r="EV16" s="58"/>
      <c r="EW16" s="58"/>
      <c r="EX16" s="58"/>
      <c r="EY16" s="58"/>
      <c r="EZ16" s="58"/>
      <c r="FA16" s="58"/>
      <c r="FB16" s="58"/>
      <c r="FC16" s="58"/>
      <c r="FD16" s="58"/>
      <c r="FE16" s="58"/>
      <c r="FF16" s="58"/>
      <c r="FG16" s="58"/>
      <c r="FH16" s="58"/>
      <c r="FI16" s="58"/>
      <c r="FJ16" s="58"/>
      <c r="FK16" s="58"/>
      <c r="FL16" s="58"/>
      <c r="FM16" s="58"/>
      <c r="FN16" s="58"/>
      <c r="FO16" s="58"/>
      <c r="FP16" s="58"/>
      <c r="FQ16" s="58"/>
      <c r="FR16" s="58"/>
      <c r="FS16" s="58"/>
      <c r="FT16" s="58"/>
      <c r="FU16" s="58"/>
      <c r="FV16" s="58"/>
      <c r="FW16" s="58"/>
      <c r="FX16" s="58"/>
      <c r="FY16" s="58"/>
      <c r="FZ16" s="58"/>
      <c r="GA16" s="58"/>
      <c r="GB16" s="58"/>
      <c r="GC16" s="58"/>
      <c r="GD16" s="58"/>
      <c r="GE16" s="58"/>
      <c r="GF16" s="58"/>
      <c r="GG16" s="58"/>
      <c r="GH16" s="58"/>
      <c r="GI16" s="58"/>
      <c r="GJ16" s="58"/>
      <c r="GK16" s="58"/>
      <c r="GL16" s="58"/>
      <c r="GM16" s="58"/>
      <c r="GN16" s="58"/>
      <c r="GO16" s="58"/>
      <c r="GP16" s="58"/>
      <c r="GQ16" s="58"/>
      <c r="GR16" s="58"/>
      <c r="GS16" s="58"/>
      <c r="GT16" s="58"/>
      <c r="GU16" s="58"/>
      <c r="GV16" s="58"/>
      <c r="GW16" s="58"/>
      <c r="GX16" s="58"/>
      <c r="GY16" s="58"/>
      <c r="GZ16" s="58"/>
      <c r="HA16" s="58"/>
      <c r="HB16" s="58"/>
      <c r="HC16" s="58"/>
      <c r="HD16" s="58"/>
      <c r="HE16" s="58"/>
      <c r="HF16" s="58"/>
      <c r="HG16" s="58"/>
      <c r="HH16" s="58"/>
      <c r="HI16" s="58"/>
      <c r="HJ16" s="58"/>
      <c r="HK16" s="58"/>
      <c r="HL16" s="58"/>
      <c r="HM16" s="58"/>
      <c r="HN16" s="58"/>
      <c r="HO16" s="58"/>
      <c r="HP16" s="58"/>
      <c r="HQ16" s="58"/>
      <c r="HR16" s="58"/>
      <c r="HS16" s="58"/>
      <c r="HT16" s="58"/>
      <c r="HU16" s="58"/>
      <c r="HV16" s="58"/>
      <c r="HW16" s="58"/>
      <c r="HX16" s="58"/>
      <c r="HY16" s="58"/>
      <c r="HZ16" s="58"/>
      <c r="IA16" s="58"/>
      <c r="IB16" s="58"/>
      <c r="IC16" s="58"/>
      <c r="ID16" s="58"/>
      <c r="IE16" s="58"/>
      <c r="IF16" s="58"/>
      <c r="IG16" s="58"/>
      <c r="IH16" s="58"/>
      <c r="II16" s="58"/>
      <c r="IJ16" s="58"/>
      <c r="IK16" s="58"/>
      <c r="IL16" s="58"/>
      <c r="IM16" s="58"/>
      <c r="IN16" s="58"/>
      <c r="IO16" s="58"/>
      <c r="IP16" s="58"/>
      <c r="IQ16" s="58"/>
      <c r="IR16" s="58"/>
      <c r="IS16" s="58"/>
      <c r="IT16" s="58"/>
    </row>
    <row r="17" spans="1:254" x14ac:dyDescent="0.25">
      <c r="A17" s="112">
        <v>8</v>
      </c>
      <c r="B17" s="93" t="s">
        <v>263</v>
      </c>
      <c r="C17" s="94" t="s">
        <v>103</v>
      </c>
      <c r="D17" s="95">
        <v>5000000</v>
      </c>
      <c r="E17" s="95"/>
      <c r="F17" s="95">
        <v>730000</v>
      </c>
      <c r="G17" s="95">
        <v>500000</v>
      </c>
      <c r="H17" s="95">
        <v>500000</v>
      </c>
      <c r="I17" s="96">
        <f>D17+E17+F17+G17+H17</f>
        <v>6730000</v>
      </c>
      <c r="J17" s="97">
        <v>19</v>
      </c>
      <c r="K17" s="92">
        <f>I17/26*J17</f>
        <v>4918076.923076923</v>
      </c>
      <c r="L17" s="92">
        <f>D17+E17</f>
        <v>5000000</v>
      </c>
      <c r="M17" s="98">
        <f>$L17*2%</f>
        <v>100000</v>
      </c>
      <c r="N17" s="98">
        <f>$L17*17.5%</f>
        <v>875000</v>
      </c>
      <c r="O17" s="98">
        <f>$L17*3%</f>
        <v>150000</v>
      </c>
      <c r="P17" s="98">
        <f>$L17*1%</f>
        <v>50000</v>
      </c>
      <c r="Q17" s="98">
        <f>SUM(M17:P17)</f>
        <v>1175000</v>
      </c>
      <c r="R17" s="98">
        <f>$L17*8%</f>
        <v>400000</v>
      </c>
      <c r="S17" s="98">
        <f>$L17*1.5%</f>
        <v>75000</v>
      </c>
      <c r="T17" s="98">
        <f>$L17*1%</f>
        <v>50000</v>
      </c>
      <c r="U17" s="98">
        <f>SUM(R17:T17)</f>
        <v>525000</v>
      </c>
      <c r="V17" s="98"/>
      <c r="W17" s="98"/>
      <c r="X17" s="99">
        <f>K17-U17-V17-W17</f>
        <v>4393076.923076923</v>
      </c>
      <c r="Y17" s="95"/>
      <c r="Z17" s="58"/>
      <c r="AA17" s="58"/>
      <c r="AB17" s="58"/>
      <c r="AC17" s="58"/>
      <c r="AD17" s="58"/>
      <c r="AE17" s="58"/>
      <c r="AF17" s="58"/>
      <c r="AG17" s="58"/>
      <c r="AH17" s="58"/>
      <c r="AI17" s="58"/>
      <c r="AJ17" s="58"/>
      <c r="AK17" s="58"/>
      <c r="AL17" s="58"/>
      <c r="AM17" s="58"/>
      <c r="AN17" s="58"/>
      <c r="AO17" s="58"/>
      <c r="AP17" s="58"/>
      <c r="AQ17" s="58"/>
      <c r="AR17" s="58"/>
      <c r="AS17" s="58"/>
      <c r="AT17" s="58"/>
      <c r="AU17" s="58"/>
      <c r="AV17" s="58"/>
      <c r="AW17" s="58"/>
      <c r="AX17" s="58"/>
      <c r="AY17" s="58"/>
      <c r="AZ17" s="58"/>
      <c r="BA17" s="58"/>
      <c r="BB17" s="58"/>
      <c r="BC17" s="58"/>
      <c r="BD17" s="58"/>
      <c r="BE17" s="58"/>
      <c r="BF17" s="58"/>
      <c r="BG17" s="58"/>
      <c r="BH17" s="58"/>
      <c r="BI17" s="58"/>
      <c r="BJ17" s="58"/>
      <c r="BK17" s="58"/>
      <c r="BL17" s="58"/>
      <c r="BM17" s="58"/>
      <c r="BN17" s="58"/>
      <c r="BO17" s="58"/>
      <c r="BP17" s="58"/>
      <c r="BQ17" s="58"/>
      <c r="BR17" s="58"/>
      <c r="BS17" s="58"/>
      <c r="BT17" s="58"/>
      <c r="BU17" s="58"/>
      <c r="BV17" s="58"/>
      <c r="BW17" s="58"/>
      <c r="BX17" s="58"/>
      <c r="BY17" s="58"/>
      <c r="BZ17" s="58"/>
      <c r="CA17" s="58"/>
      <c r="CB17" s="58"/>
      <c r="CC17" s="58"/>
      <c r="CD17" s="58"/>
      <c r="CE17" s="58"/>
      <c r="CF17" s="58"/>
      <c r="CG17" s="58"/>
      <c r="CH17" s="58"/>
      <c r="CI17" s="58"/>
      <c r="CJ17" s="58"/>
      <c r="CK17" s="58"/>
      <c r="CL17" s="58"/>
      <c r="CM17" s="58"/>
      <c r="CN17" s="58"/>
      <c r="CO17" s="58"/>
      <c r="CP17" s="58"/>
      <c r="CQ17" s="58"/>
      <c r="CR17" s="58"/>
      <c r="CS17" s="58"/>
      <c r="CT17" s="58"/>
      <c r="CU17" s="58"/>
      <c r="CV17" s="58"/>
      <c r="CW17" s="58"/>
      <c r="CX17" s="58"/>
      <c r="CY17" s="58"/>
      <c r="CZ17" s="58"/>
      <c r="DA17" s="58"/>
      <c r="DB17" s="58"/>
      <c r="DC17" s="58"/>
      <c r="DD17" s="58"/>
      <c r="DE17" s="58"/>
      <c r="DF17" s="58"/>
      <c r="DG17" s="58"/>
      <c r="DH17" s="58"/>
      <c r="DI17" s="58"/>
      <c r="DJ17" s="58"/>
      <c r="DK17" s="58"/>
      <c r="DL17" s="58"/>
      <c r="DM17" s="58"/>
      <c r="DN17" s="58"/>
      <c r="DO17" s="58"/>
      <c r="DP17" s="58"/>
      <c r="DQ17" s="58"/>
      <c r="DR17" s="58"/>
      <c r="DS17" s="58"/>
      <c r="DT17" s="58"/>
      <c r="DU17" s="58"/>
      <c r="DV17" s="58"/>
      <c r="DW17" s="58"/>
      <c r="DX17" s="58"/>
      <c r="DY17" s="58"/>
      <c r="DZ17" s="58"/>
      <c r="EA17" s="58"/>
      <c r="EB17" s="58"/>
      <c r="EC17" s="58"/>
      <c r="ED17" s="58"/>
      <c r="EE17" s="58"/>
      <c r="EF17" s="58"/>
      <c r="EG17" s="58"/>
      <c r="EH17" s="58"/>
      <c r="EI17" s="58"/>
      <c r="EJ17" s="58"/>
      <c r="EK17" s="58"/>
      <c r="EL17" s="58"/>
      <c r="EM17" s="58"/>
      <c r="EN17" s="58"/>
      <c r="EO17" s="58"/>
      <c r="EP17" s="58"/>
      <c r="EQ17" s="58"/>
      <c r="ER17" s="58"/>
      <c r="ES17" s="58"/>
      <c r="ET17" s="58"/>
      <c r="EU17" s="58"/>
      <c r="EV17" s="58"/>
      <c r="EW17" s="58"/>
      <c r="EX17" s="58"/>
      <c r="EY17" s="58"/>
      <c r="EZ17" s="58"/>
      <c r="FA17" s="58"/>
      <c r="FB17" s="58"/>
      <c r="FC17" s="58"/>
      <c r="FD17" s="58"/>
      <c r="FE17" s="58"/>
      <c r="FF17" s="58"/>
      <c r="FG17" s="58"/>
      <c r="FH17" s="58"/>
      <c r="FI17" s="58"/>
      <c r="FJ17" s="58"/>
      <c r="FK17" s="58"/>
      <c r="FL17" s="58"/>
      <c r="FM17" s="58"/>
      <c r="FN17" s="58"/>
      <c r="FO17" s="58"/>
      <c r="FP17" s="58"/>
      <c r="FQ17" s="58"/>
      <c r="FR17" s="58"/>
      <c r="FS17" s="58"/>
      <c r="FT17" s="58"/>
      <c r="FU17" s="58"/>
      <c r="FV17" s="58"/>
      <c r="FW17" s="58"/>
      <c r="FX17" s="58"/>
      <c r="FY17" s="58"/>
      <c r="FZ17" s="58"/>
      <c r="GA17" s="58"/>
      <c r="GB17" s="58"/>
      <c r="GC17" s="58"/>
      <c r="GD17" s="58"/>
      <c r="GE17" s="58"/>
      <c r="GF17" s="58"/>
      <c r="GG17" s="58"/>
      <c r="GH17" s="58"/>
      <c r="GI17" s="58"/>
      <c r="GJ17" s="58"/>
      <c r="GK17" s="58"/>
      <c r="GL17" s="58"/>
      <c r="GM17" s="58"/>
      <c r="GN17" s="58"/>
      <c r="GO17" s="58"/>
      <c r="GP17" s="58"/>
      <c r="GQ17" s="58"/>
      <c r="GR17" s="58"/>
      <c r="GS17" s="58"/>
      <c r="GT17" s="58"/>
      <c r="GU17" s="58"/>
      <c r="GV17" s="58"/>
      <c r="GW17" s="58"/>
      <c r="GX17" s="58"/>
      <c r="GY17" s="58"/>
      <c r="GZ17" s="58"/>
      <c r="HA17" s="58"/>
      <c r="HB17" s="58"/>
      <c r="HC17" s="58"/>
      <c r="HD17" s="58"/>
      <c r="HE17" s="58"/>
      <c r="HF17" s="58"/>
      <c r="HG17" s="58"/>
      <c r="HH17" s="58"/>
      <c r="HI17" s="58"/>
      <c r="HJ17" s="58"/>
      <c r="HK17" s="58"/>
      <c r="HL17" s="58"/>
      <c r="HM17" s="58"/>
      <c r="HN17" s="58"/>
      <c r="HO17" s="58"/>
      <c r="HP17" s="58"/>
      <c r="HQ17" s="58"/>
      <c r="HR17" s="58"/>
      <c r="HS17" s="58"/>
      <c r="HT17" s="58"/>
      <c r="HU17" s="58"/>
      <c r="HV17" s="58"/>
      <c r="HW17" s="58"/>
      <c r="HX17" s="58"/>
      <c r="HY17" s="58"/>
      <c r="HZ17" s="58"/>
      <c r="IA17" s="58"/>
      <c r="IB17" s="58"/>
      <c r="IC17" s="58"/>
      <c r="ID17" s="58"/>
      <c r="IE17" s="58"/>
      <c r="IF17" s="58"/>
      <c r="IG17" s="58"/>
      <c r="IH17" s="58"/>
      <c r="II17" s="58"/>
      <c r="IJ17" s="58"/>
      <c r="IK17" s="58"/>
      <c r="IL17" s="58"/>
      <c r="IM17" s="58"/>
      <c r="IN17" s="58"/>
      <c r="IO17" s="58"/>
      <c r="IP17" s="58"/>
      <c r="IQ17" s="58"/>
      <c r="IR17" s="58"/>
      <c r="IS17" s="58"/>
      <c r="IT17" s="58"/>
    </row>
    <row r="18" spans="1:254" x14ac:dyDescent="0.25">
      <c r="A18" s="112"/>
      <c r="B18" s="93"/>
      <c r="C18" s="94"/>
      <c r="D18" s="95"/>
      <c r="E18" s="95"/>
      <c r="F18" s="95"/>
      <c r="G18" s="95"/>
      <c r="H18" s="95"/>
      <c r="I18" s="96"/>
      <c r="J18" s="106"/>
      <c r="K18" s="99"/>
      <c r="L18" s="99"/>
      <c r="M18" s="95"/>
      <c r="N18" s="95"/>
      <c r="O18" s="95"/>
      <c r="P18" s="95"/>
      <c r="Q18" s="99"/>
      <c r="R18" s="95"/>
      <c r="S18" s="95"/>
      <c r="T18" s="95"/>
      <c r="U18" s="99"/>
      <c r="V18" s="95"/>
      <c r="W18" s="95"/>
      <c r="X18" s="95"/>
      <c r="Y18" s="98"/>
      <c r="Z18" s="58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  <c r="DW18" s="58"/>
      <c r="DX18" s="58"/>
      <c r="DY18" s="58"/>
      <c r="DZ18" s="58"/>
      <c r="EA18" s="58"/>
      <c r="EB18" s="58"/>
      <c r="EC18" s="58"/>
      <c r="ED18" s="58"/>
      <c r="EE18" s="58"/>
      <c r="EF18" s="58"/>
      <c r="EG18" s="58"/>
      <c r="EH18" s="58"/>
      <c r="EI18" s="58"/>
      <c r="EJ18" s="58"/>
      <c r="EK18" s="58"/>
      <c r="EL18" s="58"/>
      <c r="EM18" s="58"/>
      <c r="EN18" s="58"/>
      <c r="EO18" s="58"/>
      <c r="EP18" s="58"/>
      <c r="EQ18" s="58"/>
      <c r="ER18" s="58"/>
      <c r="ES18" s="58"/>
      <c r="ET18" s="58"/>
      <c r="EU18" s="58"/>
      <c r="EV18" s="58"/>
      <c r="EW18" s="58"/>
      <c r="EX18" s="58"/>
      <c r="EY18" s="58"/>
      <c r="EZ18" s="58"/>
      <c r="FA18" s="58"/>
      <c r="FB18" s="58"/>
      <c r="FC18" s="58"/>
      <c r="FD18" s="58"/>
      <c r="FE18" s="58"/>
      <c r="FF18" s="58"/>
      <c r="FG18" s="58"/>
      <c r="FH18" s="58"/>
      <c r="FI18" s="58"/>
      <c r="FJ18" s="58"/>
      <c r="FK18" s="58"/>
      <c r="FL18" s="58"/>
      <c r="FM18" s="58"/>
      <c r="FN18" s="58"/>
      <c r="FO18" s="58"/>
      <c r="FP18" s="58"/>
      <c r="FQ18" s="58"/>
      <c r="FR18" s="58"/>
      <c r="FS18" s="58"/>
      <c r="FT18" s="58"/>
      <c r="FU18" s="58"/>
      <c r="FV18" s="58"/>
      <c r="FW18" s="58"/>
      <c r="FX18" s="58"/>
      <c r="FY18" s="58"/>
      <c r="FZ18" s="58"/>
      <c r="GA18" s="58"/>
      <c r="GB18" s="58"/>
      <c r="GC18" s="58"/>
      <c r="GD18" s="58"/>
      <c r="GE18" s="58"/>
      <c r="GF18" s="58"/>
      <c r="GG18" s="58"/>
      <c r="GH18" s="58"/>
      <c r="GI18" s="58"/>
      <c r="GJ18" s="58"/>
      <c r="GK18" s="58"/>
      <c r="GL18" s="58"/>
      <c r="GM18" s="58"/>
      <c r="GN18" s="58"/>
      <c r="GO18" s="58"/>
      <c r="GP18" s="58"/>
      <c r="GQ18" s="58"/>
      <c r="GR18" s="58"/>
      <c r="GS18" s="58"/>
      <c r="GT18" s="58"/>
      <c r="GU18" s="58"/>
      <c r="GV18" s="58"/>
      <c r="GW18" s="58"/>
      <c r="GX18" s="58"/>
      <c r="GY18" s="58"/>
      <c r="GZ18" s="58"/>
      <c r="HA18" s="58"/>
      <c r="HB18" s="58"/>
      <c r="HC18" s="58"/>
      <c r="HD18" s="58"/>
      <c r="HE18" s="58"/>
      <c r="HF18" s="58"/>
      <c r="HG18" s="58"/>
      <c r="HH18" s="58"/>
      <c r="HI18" s="58"/>
      <c r="HJ18" s="58"/>
      <c r="HK18" s="58"/>
      <c r="HL18" s="58"/>
      <c r="HM18" s="58"/>
      <c r="HN18" s="58"/>
      <c r="HO18" s="58"/>
      <c r="HP18" s="58"/>
      <c r="HQ18" s="58"/>
      <c r="HR18" s="58"/>
      <c r="HS18" s="58"/>
      <c r="HT18" s="58"/>
      <c r="HU18" s="58"/>
      <c r="HV18" s="58"/>
      <c r="HW18" s="58"/>
      <c r="HX18" s="58"/>
      <c r="HY18" s="58"/>
      <c r="HZ18" s="58"/>
      <c r="IA18" s="58"/>
      <c r="IB18" s="58"/>
      <c r="IC18" s="58"/>
      <c r="ID18" s="58"/>
      <c r="IE18" s="58"/>
      <c r="IF18" s="58"/>
      <c r="IG18" s="58"/>
      <c r="IH18" s="58"/>
      <c r="II18" s="58"/>
      <c r="IJ18" s="58"/>
      <c r="IK18" s="58"/>
      <c r="IL18" s="58"/>
      <c r="IM18" s="58"/>
      <c r="IN18" s="58"/>
      <c r="IO18" s="58"/>
      <c r="IP18" s="58"/>
      <c r="IQ18" s="58"/>
      <c r="IR18" s="58"/>
      <c r="IS18" s="58"/>
      <c r="IT18" s="58"/>
    </row>
    <row r="19" spans="1:254" x14ac:dyDescent="0.25">
      <c r="A19" s="114"/>
      <c r="B19" s="107" t="s">
        <v>104</v>
      </c>
      <c r="C19" s="108"/>
      <c r="D19" s="92">
        <f t="shared" ref="D19:X19" si="15">SUBTOTAL(9,D7:D18)</f>
        <v>49000000</v>
      </c>
      <c r="E19" s="92">
        <f t="shared" si="15"/>
        <v>7000000</v>
      </c>
      <c r="F19" s="92">
        <f t="shared" si="15"/>
        <v>5840000</v>
      </c>
      <c r="G19" s="92">
        <f t="shared" si="15"/>
        <v>9300000</v>
      </c>
      <c r="H19" s="92">
        <f t="shared" si="15"/>
        <v>9300000</v>
      </c>
      <c r="I19" s="92">
        <f t="shared" si="15"/>
        <v>80440000</v>
      </c>
      <c r="J19" s="92">
        <f t="shared" si="15"/>
        <v>191</v>
      </c>
      <c r="K19" s="92">
        <f t="shared" si="15"/>
        <v>74478076.923076928</v>
      </c>
      <c r="L19" s="92">
        <f t="shared" si="15"/>
        <v>56000000</v>
      </c>
      <c r="M19" s="92">
        <f t="shared" si="15"/>
        <v>1120000</v>
      </c>
      <c r="N19" s="92">
        <f t="shared" si="15"/>
        <v>9800000</v>
      </c>
      <c r="O19" s="92">
        <f t="shared" si="15"/>
        <v>1680000</v>
      </c>
      <c r="P19" s="92">
        <f t="shared" si="15"/>
        <v>560000</v>
      </c>
      <c r="Q19" s="92">
        <f t="shared" si="15"/>
        <v>13160000</v>
      </c>
      <c r="R19" s="92">
        <f t="shared" si="15"/>
        <v>4480000</v>
      </c>
      <c r="S19" s="92">
        <f t="shared" si="15"/>
        <v>840000</v>
      </c>
      <c r="T19" s="92">
        <f t="shared" si="15"/>
        <v>560000</v>
      </c>
      <c r="U19" s="92">
        <f t="shared" si="15"/>
        <v>5880000</v>
      </c>
      <c r="V19" s="92">
        <f t="shared" si="15"/>
        <v>0</v>
      </c>
      <c r="W19" s="92">
        <f t="shared" si="15"/>
        <v>0</v>
      </c>
      <c r="X19" s="92">
        <f t="shared" si="15"/>
        <v>68598076.923076928</v>
      </c>
      <c r="Y19" s="92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57"/>
      <c r="AY19" s="57"/>
      <c r="AZ19" s="57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  <c r="FB19" s="57"/>
      <c r="FC19" s="57"/>
      <c r="FD19" s="57"/>
      <c r="FE19" s="57"/>
      <c r="FF19" s="57"/>
      <c r="FG19" s="57"/>
      <c r="FH19" s="57"/>
      <c r="FI19" s="57"/>
      <c r="FJ19" s="57"/>
      <c r="FK19" s="57"/>
      <c r="FL19" s="57"/>
      <c r="FM19" s="57"/>
      <c r="FN19" s="57"/>
      <c r="FO19" s="57"/>
      <c r="FP19" s="57"/>
      <c r="FQ19" s="57"/>
      <c r="FR19" s="57"/>
      <c r="FS19" s="57"/>
      <c r="FT19" s="57"/>
      <c r="FU19" s="57"/>
      <c r="FV19" s="57"/>
      <c r="FW19" s="57"/>
      <c r="FX19" s="57"/>
      <c r="FY19" s="57"/>
      <c r="FZ19" s="57"/>
      <c r="GA19" s="57"/>
      <c r="GB19" s="57"/>
      <c r="GC19" s="57"/>
      <c r="GD19" s="57"/>
      <c r="GE19" s="57"/>
      <c r="GF19" s="57"/>
      <c r="GG19" s="57"/>
      <c r="GH19" s="57"/>
      <c r="GI19" s="57"/>
      <c r="GJ19" s="57"/>
      <c r="GK19" s="57"/>
      <c r="GL19" s="57"/>
      <c r="GM19" s="57"/>
      <c r="GN19" s="57"/>
      <c r="GO19" s="57"/>
      <c r="GP19" s="57"/>
      <c r="GQ19" s="57"/>
      <c r="GR19" s="57"/>
      <c r="GS19" s="57"/>
      <c r="GT19" s="57"/>
      <c r="GU19" s="57"/>
      <c r="GV19" s="57"/>
      <c r="GW19" s="57"/>
      <c r="GX19" s="57"/>
      <c r="GY19" s="57"/>
      <c r="GZ19" s="57"/>
      <c r="HA19" s="57"/>
      <c r="HB19" s="57"/>
      <c r="HC19" s="57"/>
      <c r="HD19" s="57"/>
      <c r="HE19" s="57"/>
      <c r="HF19" s="57"/>
      <c r="HG19" s="57"/>
      <c r="HH19" s="57"/>
      <c r="HI19" s="57"/>
      <c r="HJ19" s="57"/>
      <c r="HK19" s="57"/>
      <c r="HL19" s="57"/>
      <c r="HM19" s="57"/>
      <c r="HN19" s="57"/>
      <c r="HO19" s="57"/>
      <c r="HP19" s="57"/>
      <c r="HQ19" s="57"/>
      <c r="HR19" s="57"/>
      <c r="HS19" s="57"/>
      <c r="HT19" s="57"/>
      <c r="HU19" s="57"/>
      <c r="HV19" s="57"/>
      <c r="HW19" s="57"/>
      <c r="HX19" s="57"/>
      <c r="HY19" s="57"/>
      <c r="HZ19" s="57"/>
      <c r="IA19" s="57"/>
      <c r="IB19" s="57"/>
      <c r="IC19" s="57"/>
      <c r="ID19" s="57"/>
      <c r="IE19" s="57"/>
      <c r="IF19" s="57"/>
      <c r="IG19" s="57"/>
      <c r="IH19" s="57"/>
      <c r="II19" s="57"/>
      <c r="IJ19" s="57"/>
      <c r="IK19" s="57"/>
      <c r="IL19" s="57"/>
      <c r="IM19" s="57"/>
      <c r="IN19" s="57"/>
      <c r="IO19" s="57"/>
      <c r="IP19" s="57"/>
      <c r="IQ19" s="57"/>
      <c r="IR19" s="57"/>
      <c r="IS19" s="57"/>
      <c r="IT19" s="57"/>
    </row>
    <row r="20" spans="1:254" ht="16.5" x14ac:dyDescent="0.25">
      <c r="A20" s="59"/>
      <c r="B20" s="60"/>
      <c r="C20" s="61"/>
      <c r="D20" s="39"/>
      <c r="E20" s="39"/>
      <c r="F20" s="39"/>
      <c r="G20" s="39"/>
      <c r="H20" s="39"/>
      <c r="I20" s="62"/>
      <c r="J20" s="40"/>
      <c r="K20" s="42"/>
      <c r="L20" s="42"/>
      <c r="M20" s="39"/>
      <c r="N20" s="39"/>
      <c r="O20" s="39"/>
      <c r="P20" s="39"/>
      <c r="Q20" s="42"/>
      <c r="R20" s="39"/>
      <c r="S20" s="39"/>
      <c r="T20" s="39"/>
      <c r="U20" s="42"/>
      <c r="V20" s="39"/>
      <c r="W20" s="39"/>
      <c r="X20" s="39"/>
      <c r="Y20" s="63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  <c r="EU20" s="64"/>
      <c r="EV20" s="64"/>
      <c r="EW20" s="64"/>
      <c r="EX20" s="64"/>
      <c r="EY20" s="64"/>
      <c r="EZ20" s="64"/>
      <c r="FA20" s="64"/>
      <c r="FB20" s="64"/>
      <c r="FC20" s="64"/>
      <c r="FD20" s="64"/>
      <c r="FE20" s="64"/>
      <c r="FF20" s="64"/>
      <c r="FG20" s="64"/>
      <c r="FH20" s="64"/>
      <c r="FI20" s="64"/>
      <c r="FJ20" s="64"/>
      <c r="FK20" s="64"/>
      <c r="FL20" s="64"/>
      <c r="FM20" s="64"/>
      <c r="FN20" s="64"/>
      <c r="FO20" s="64"/>
      <c r="FP20" s="64"/>
      <c r="FQ20" s="64"/>
      <c r="FR20" s="64"/>
      <c r="FS20" s="64"/>
      <c r="FT20" s="64"/>
      <c r="FU20" s="64"/>
      <c r="FV20" s="64"/>
      <c r="FW20" s="64"/>
      <c r="FX20" s="64"/>
      <c r="FY20" s="64"/>
      <c r="FZ20" s="64"/>
      <c r="GA20" s="64"/>
      <c r="GB20" s="64"/>
      <c r="GC20" s="64"/>
      <c r="GD20" s="64"/>
      <c r="GE20" s="64"/>
      <c r="GF20" s="64"/>
      <c r="GG20" s="64"/>
      <c r="GH20" s="64"/>
      <c r="GI20" s="64"/>
      <c r="GJ20" s="64"/>
      <c r="GK20" s="64"/>
      <c r="GL20" s="64"/>
      <c r="GM20" s="64"/>
      <c r="GN20" s="64"/>
      <c r="GO20" s="64"/>
      <c r="GP20" s="64"/>
      <c r="GQ20" s="64"/>
      <c r="GR20" s="64"/>
      <c r="GS20" s="64"/>
      <c r="GT20" s="64"/>
      <c r="GU20" s="64"/>
      <c r="GV20" s="64"/>
      <c r="GW20" s="64"/>
      <c r="GX20" s="64"/>
      <c r="GY20" s="64"/>
      <c r="GZ20" s="64"/>
      <c r="HA20" s="64"/>
      <c r="HB20" s="64"/>
      <c r="HC20" s="64"/>
      <c r="HD20" s="64"/>
      <c r="HE20" s="64"/>
      <c r="HF20" s="64"/>
      <c r="HG20" s="64"/>
      <c r="HH20" s="64"/>
      <c r="HI20" s="64"/>
      <c r="HJ20" s="64"/>
      <c r="HK20" s="64"/>
      <c r="HL20" s="64"/>
      <c r="HM20" s="64"/>
      <c r="HN20" s="64"/>
      <c r="HO20" s="64"/>
      <c r="HP20" s="64"/>
      <c r="HQ20" s="64"/>
      <c r="HR20" s="64"/>
      <c r="HS20" s="64"/>
      <c r="HT20" s="64"/>
      <c r="HU20" s="64"/>
      <c r="HV20" s="64"/>
      <c r="HW20" s="64"/>
      <c r="HX20" s="64"/>
      <c r="HY20" s="64"/>
      <c r="HZ20" s="64"/>
      <c r="IA20" s="64"/>
      <c r="IB20" s="64"/>
      <c r="IC20" s="64"/>
      <c r="ID20" s="64"/>
      <c r="IE20" s="64"/>
      <c r="IF20" s="64"/>
      <c r="IG20" s="64"/>
      <c r="IH20" s="64"/>
      <c r="II20" s="64"/>
      <c r="IJ20" s="64"/>
      <c r="IK20" s="64"/>
      <c r="IL20" s="64"/>
      <c r="IM20" s="64"/>
      <c r="IN20" s="64"/>
      <c r="IO20" s="64"/>
      <c r="IP20" s="64"/>
      <c r="IQ20" s="64"/>
      <c r="IR20" s="64"/>
      <c r="IS20" s="64"/>
      <c r="IT20" s="64"/>
    </row>
    <row r="21" spans="1:254" x14ac:dyDescent="0.25">
      <c r="A21" s="65"/>
      <c r="B21" s="66"/>
      <c r="C21" s="67"/>
      <c r="D21" s="43" t="s">
        <v>105</v>
      </c>
      <c r="E21" s="43"/>
      <c r="F21" s="43"/>
      <c r="G21" s="43"/>
      <c r="H21" s="159" t="s">
        <v>106</v>
      </c>
      <c r="I21" s="159"/>
      <c r="J21" s="159"/>
      <c r="K21" s="159"/>
      <c r="L21" s="159"/>
      <c r="M21" s="160" t="s">
        <v>107</v>
      </c>
      <c r="N21" s="160"/>
      <c r="O21" s="160"/>
      <c r="P21" s="160"/>
      <c r="Q21" s="160"/>
      <c r="R21" s="160"/>
      <c r="S21" s="160"/>
      <c r="T21" s="160"/>
      <c r="U21" s="160"/>
      <c r="V21" s="160"/>
      <c r="W21" s="160"/>
      <c r="X21" s="160"/>
      <c r="Y21" s="160"/>
      <c r="Z21" s="68"/>
      <c r="AA21" s="68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  <c r="CH21" s="66"/>
      <c r="CI21" s="66"/>
      <c r="CJ21" s="66"/>
      <c r="CK21" s="66"/>
      <c r="CL21" s="66"/>
      <c r="CM21" s="66"/>
      <c r="CN21" s="66"/>
      <c r="CO21" s="66"/>
      <c r="CP21" s="66"/>
      <c r="CQ21" s="66"/>
      <c r="CR21" s="66"/>
      <c r="CS21" s="66"/>
      <c r="CT21" s="66"/>
      <c r="CU21" s="66"/>
      <c r="CV21" s="66"/>
      <c r="CW21" s="66"/>
      <c r="CX21" s="66"/>
      <c r="CY21" s="66"/>
      <c r="CZ21" s="66"/>
      <c r="DA21" s="66"/>
      <c r="DB21" s="66"/>
      <c r="DC21" s="66"/>
      <c r="DD21" s="66"/>
      <c r="DE21" s="66"/>
      <c r="DF21" s="66"/>
      <c r="DG21" s="66"/>
      <c r="DH21" s="66"/>
      <c r="DI21" s="66"/>
      <c r="DJ21" s="66"/>
      <c r="DK21" s="66"/>
      <c r="DL21" s="66"/>
      <c r="DM21" s="66"/>
      <c r="DN21" s="66"/>
      <c r="DO21" s="66"/>
      <c r="DP21" s="66"/>
      <c r="DQ21" s="66"/>
      <c r="DR21" s="66"/>
      <c r="DS21" s="66"/>
      <c r="DT21" s="66"/>
      <c r="DU21" s="66"/>
      <c r="DV21" s="66"/>
      <c r="DW21" s="66"/>
      <c r="DX21" s="66"/>
      <c r="DY21" s="66"/>
      <c r="DZ21" s="66"/>
      <c r="EA21" s="66"/>
      <c r="EB21" s="66"/>
      <c r="EC21" s="66"/>
      <c r="ED21" s="66"/>
      <c r="EE21" s="66"/>
      <c r="EF21" s="66"/>
      <c r="EG21" s="66"/>
      <c r="EH21" s="66"/>
      <c r="EI21" s="66"/>
      <c r="EJ21" s="66"/>
      <c r="EK21" s="66"/>
      <c r="EL21" s="66"/>
      <c r="EM21" s="66"/>
      <c r="EN21" s="66"/>
      <c r="EO21" s="66"/>
      <c r="EP21" s="66"/>
      <c r="EQ21" s="66"/>
      <c r="ER21" s="66"/>
      <c r="ES21" s="66"/>
      <c r="ET21" s="66"/>
      <c r="EU21" s="66"/>
      <c r="EV21" s="66"/>
      <c r="EW21" s="66"/>
      <c r="EX21" s="66"/>
      <c r="EY21" s="66"/>
      <c r="EZ21" s="66"/>
      <c r="FA21" s="66"/>
      <c r="FB21" s="66"/>
      <c r="FC21" s="66"/>
      <c r="FD21" s="66"/>
      <c r="FE21" s="66"/>
      <c r="FF21" s="66"/>
      <c r="FG21" s="66"/>
      <c r="FH21" s="66"/>
      <c r="FI21" s="66"/>
      <c r="FJ21" s="66"/>
      <c r="FK21" s="66"/>
      <c r="FL21" s="66"/>
      <c r="FM21" s="66"/>
      <c r="FN21" s="66"/>
      <c r="FO21" s="66"/>
      <c r="FP21" s="66"/>
      <c r="FQ21" s="66"/>
      <c r="FR21" s="66"/>
      <c r="FS21" s="66"/>
      <c r="FT21" s="66"/>
      <c r="FU21" s="66"/>
      <c r="FV21" s="66"/>
      <c r="FW21" s="66"/>
      <c r="FX21" s="66"/>
      <c r="FY21" s="66"/>
      <c r="FZ21" s="66"/>
      <c r="GA21" s="66"/>
      <c r="GB21" s="66"/>
      <c r="GC21" s="66"/>
      <c r="GD21" s="66"/>
      <c r="GE21" s="66"/>
      <c r="GF21" s="66"/>
      <c r="GG21" s="66"/>
      <c r="GH21" s="66"/>
      <c r="GI21" s="66"/>
      <c r="GJ21" s="66"/>
      <c r="GK21" s="66"/>
      <c r="GL21" s="66"/>
      <c r="GM21" s="66"/>
      <c r="GN21" s="66"/>
      <c r="GO21" s="66"/>
      <c r="GP21" s="66"/>
      <c r="GQ21" s="66"/>
      <c r="GR21" s="66"/>
      <c r="GS21" s="66"/>
      <c r="GT21" s="66"/>
      <c r="GU21" s="66"/>
      <c r="GV21" s="66"/>
      <c r="GW21" s="66"/>
      <c r="GX21" s="66"/>
      <c r="GY21" s="66"/>
      <c r="GZ21" s="66"/>
      <c r="HA21" s="66"/>
      <c r="HB21" s="66"/>
      <c r="HC21" s="66"/>
      <c r="HD21" s="66"/>
      <c r="HE21" s="66"/>
      <c r="HF21" s="66"/>
      <c r="HG21" s="66"/>
      <c r="HH21" s="66"/>
      <c r="HI21" s="66"/>
      <c r="HJ21" s="66"/>
      <c r="HK21" s="66"/>
      <c r="HL21" s="66"/>
      <c r="HM21" s="66"/>
      <c r="HN21" s="66"/>
      <c r="HO21" s="66"/>
      <c r="HP21" s="66"/>
      <c r="HQ21" s="66"/>
      <c r="HR21" s="66"/>
      <c r="HS21" s="66"/>
      <c r="HT21" s="66"/>
      <c r="HU21" s="66"/>
      <c r="HV21" s="66"/>
      <c r="HW21" s="66"/>
      <c r="HX21" s="66"/>
      <c r="HY21" s="66"/>
      <c r="HZ21" s="66"/>
      <c r="IA21" s="66"/>
      <c r="IB21" s="66"/>
      <c r="IC21" s="66"/>
      <c r="ID21" s="66"/>
      <c r="IE21" s="66"/>
      <c r="IF21" s="66"/>
      <c r="IG21" s="66"/>
      <c r="IH21" s="66"/>
      <c r="II21" s="66"/>
      <c r="IJ21" s="66"/>
      <c r="IK21" s="66"/>
      <c r="IL21" s="66"/>
      <c r="IM21" s="66"/>
      <c r="IN21" s="66"/>
      <c r="IO21" s="66"/>
      <c r="IP21" s="66"/>
      <c r="IQ21" s="66"/>
      <c r="IR21" s="66"/>
      <c r="IS21" s="66"/>
      <c r="IT21" s="66"/>
    </row>
    <row r="22" spans="1:254" x14ac:dyDescent="0.25">
      <c r="A22" s="69"/>
      <c r="B22" s="70"/>
      <c r="C22" s="71"/>
      <c r="D22" s="44" t="s">
        <v>108</v>
      </c>
      <c r="E22" s="44"/>
      <c r="F22" s="45"/>
      <c r="G22" s="45"/>
      <c r="H22" s="157" t="s">
        <v>108</v>
      </c>
      <c r="I22" s="157"/>
      <c r="J22" s="157"/>
      <c r="K22" s="157"/>
      <c r="L22" s="157"/>
      <c r="M22" s="158" t="s">
        <v>109</v>
      </c>
      <c r="N22" s="158"/>
      <c r="O22" s="158"/>
      <c r="P22" s="158"/>
      <c r="Q22" s="158"/>
      <c r="R22" s="158"/>
      <c r="S22" s="158"/>
      <c r="T22" s="158"/>
      <c r="U22" s="158"/>
      <c r="V22" s="158"/>
      <c r="W22" s="158"/>
      <c r="X22" s="158"/>
      <c r="Y22" s="158"/>
      <c r="Z22" s="73"/>
      <c r="AA22" s="73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  <c r="DA22" s="72"/>
      <c r="DB22" s="72"/>
      <c r="DC22" s="72"/>
      <c r="DD22" s="72"/>
      <c r="DE22" s="72"/>
      <c r="DF22" s="72"/>
      <c r="DG22" s="72"/>
      <c r="DH22" s="72"/>
      <c r="DI22" s="72"/>
      <c r="DJ22" s="72"/>
      <c r="DK22" s="72"/>
      <c r="DL22" s="72"/>
      <c r="DM22" s="72"/>
      <c r="DN22" s="72"/>
      <c r="DO22" s="72"/>
      <c r="DP22" s="72"/>
      <c r="DQ22" s="72"/>
      <c r="DR22" s="72"/>
      <c r="DS22" s="72"/>
      <c r="DT22" s="72"/>
      <c r="DU22" s="72"/>
      <c r="DV22" s="72"/>
      <c r="DW22" s="72"/>
      <c r="DX22" s="72"/>
      <c r="DY22" s="72"/>
      <c r="DZ22" s="72"/>
      <c r="EA22" s="72"/>
      <c r="EB22" s="72"/>
      <c r="EC22" s="72"/>
      <c r="ED22" s="72"/>
      <c r="EE22" s="72"/>
      <c r="EF22" s="72"/>
      <c r="EG22" s="72"/>
      <c r="EH22" s="72"/>
      <c r="EI22" s="72"/>
      <c r="EJ22" s="72"/>
      <c r="EK22" s="72"/>
      <c r="EL22" s="72"/>
      <c r="EM22" s="72"/>
      <c r="EN22" s="72"/>
      <c r="EO22" s="72"/>
      <c r="EP22" s="72"/>
      <c r="EQ22" s="72"/>
      <c r="ER22" s="72"/>
      <c r="ES22" s="72"/>
      <c r="ET22" s="72"/>
      <c r="EU22" s="72"/>
      <c r="EV22" s="72"/>
      <c r="EW22" s="72"/>
      <c r="EX22" s="72"/>
      <c r="EY22" s="72"/>
      <c r="EZ22" s="72"/>
      <c r="FA22" s="72"/>
      <c r="FB22" s="72"/>
      <c r="FC22" s="72"/>
      <c r="FD22" s="72"/>
      <c r="FE22" s="72"/>
      <c r="FF22" s="72"/>
      <c r="FG22" s="72"/>
      <c r="FH22" s="72"/>
      <c r="FI22" s="72"/>
      <c r="FJ22" s="72"/>
      <c r="FK22" s="7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72"/>
      <c r="GB22" s="72"/>
      <c r="GC22" s="72"/>
      <c r="GD22" s="72"/>
      <c r="GE22" s="72"/>
      <c r="GF22" s="72"/>
      <c r="GG22" s="72"/>
      <c r="GH22" s="72"/>
      <c r="GI22" s="72"/>
      <c r="GJ22" s="72"/>
      <c r="GK22" s="72"/>
      <c r="GL22" s="72"/>
      <c r="GM22" s="72"/>
      <c r="GN22" s="72"/>
      <c r="GO22" s="72"/>
      <c r="GP22" s="72"/>
      <c r="GQ22" s="72"/>
      <c r="GR22" s="72"/>
      <c r="GS22" s="72"/>
      <c r="GT22" s="72"/>
      <c r="GU22" s="72"/>
      <c r="GV22" s="72"/>
      <c r="GW22" s="72"/>
      <c r="GX22" s="72"/>
      <c r="GY22" s="72"/>
      <c r="GZ22" s="72"/>
      <c r="HA22" s="72"/>
      <c r="HB22" s="72"/>
      <c r="HC22" s="72"/>
      <c r="HD22" s="72"/>
      <c r="HE22" s="72"/>
      <c r="HF22" s="72"/>
      <c r="HG22" s="72"/>
      <c r="HH22" s="72"/>
      <c r="HI22" s="72"/>
      <c r="HJ22" s="72"/>
      <c r="HK22" s="72"/>
      <c r="HL22" s="72"/>
      <c r="HM22" s="72"/>
      <c r="HN22" s="72"/>
      <c r="HO22" s="72"/>
      <c r="HP22" s="72"/>
      <c r="HQ22" s="72"/>
      <c r="HR22" s="72"/>
      <c r="HS22" s="72"/>
      <c r="HT22" s="72"/>
      <c r="HU22" s="72"/>
      <c r="HV22" s="72"/>
      <c r="HW22" s="72"/>
      <c r="HX22" s="72"/>
      <c r="HY22" s="72"/>
      <c r="HZ22" s="72"/>
      <c r="IA22" s="72"/>
      <c r="IB22" s="72"/>
      <c r="IC22" s="72"/>
      <c r="ID22" s="72"/>
      <c r="IE22" s="72"/>
      <c r="IF22" s="72"/>
      <c r="IG22" s="72"/>
      <c r="IH22" s="72"/>
      <c r="II22" s="72"/>
      <c r="IJ22" s="72"/>
      <c r="IK22" s="72"/>
      <c r="IL22" s="72"/>
      <c r="IM22" s="72"/>
      <c r="IN22" s="72"/>
      <c r="IO22" s="72"/>
      <c r="IP22" s="72"/>
      <c r="IQ22" s="72"/>
      <c r="IR22" s="72"/>
      <c r="IS22" s="72"/>
      <c r="IT22" s="72"/>
    </row>
    <row r="23" spans="1:254" x14ac:dyDescent="0.25">
      <c r="O23" s="45"/>
      <c r="P23" s="45"/>
      <c r="Q23" s="45"/>
      <c r="R23" s="45"/>
      <c r="S23" s="43"/>
    </row>
    <row r="24" spans="1:254" x14ac:dyDescent="0.25">
      <c r="A24" s="77"/>
      <c r="B24" s="77"/>
      <c r="C24" s="77"/>
      <c r="D24" s="77"/>
      <c r="E24" s="77"/>
      <c r="F24" s="77"/>
      <c r="G24" s="78"/>
      <c r="H24" s="78"/>
      <c r="I24" s="78"/>
      <c r="J24" s="78"/>
      <c r="V24" s="79"/>
      <c r="W24" s="79"/>
      <c r="X24" s="80"/>
      <c r="Y24" s="81"/>
      <c r="Z24" s="155"/>
      <c r="AA24" s="155"/>
      <c r="AB24" s="155"/>
      <c r="AC24" s="82"/>
      <c r="AD24" s="82"/>
      <c r="AE24" s="82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79"/>
      <c r="CH24" s="79"/>
      <c r="CI24" s="79"/>
      <c r="CJ24" s="79"/>
      <c r="CK24" s="79"/>
      <c r="CL24" s="79"/>
      <c r="CM24" s="79"/>
      <c r="CN24" s="79"/>
      <c r="CO24" s="79"/>
      <c r="CP24" s="79"/>
      <c r="CQ24" s="79"/>
      <c r="CR24" s="79"/>
      <c r="CS24" s="79"/>
      <c r="CT24" s="79"/>
      <c r="CU24" s="79"/>
      <c r="CV24" s="79"/>
      <c r="CW24" s="79"/>
      <c r="CX24" s="79"/>
      <c r="CY24" s="79"/>
      <c r="CZ24" s="79"/>
      <c r="DA24" s="79"/>
      <c r="DB24" s="79"/>
      <c r="DC24" s="79"/>
      <c r="DD24" s="79"/>
      <c r="DE24" s="79"/>
      <c r="DF24" s="79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9"/>
      <c r="DZ24" s="79"/>
      <c r="EA24" s="79"/>
      <c r="EB24" s="79"/>
      <c r="EC24" s="79"/>
      <c r="ED24" s="79"/>
      <c r="EE24" s="79"/>
      <c r="EF24" s="79"/>
      <c r="EG24" s="79"/>
      <c r="EH24" s="79"/>
      <c r="EI24" s="79"/>
      <c r="EJ24" s="79"/>
      <c r="EK24" s="79"/>
      <c r="EL24" s="79"/>
      <c r="EM24" s="79"/>
      <c r="EN24" s="79"/>
      <c r="EO24" s="79"/>
      <c r="EP24" s="79"/>
      <c r="EQ24" s="79"/>
      <c r="ER24" s="79"/>
      <c r="ES24" s="79"/>
      <c r="ET24" s="79"/>
      <c r="EU24" s="79"/>
      <c r="EV24" s="79"/>
      <c r="EW24" s="79"/>
      <c r="EX24" s="79"/>
      <c r="EY24" s="79"/>
      <c r="EZ24" s="79"/>
      <c r="FA24" s="79"/>
      <c r="FB24" s="79"/>
      <c r="FC24" s="79"/>
      <c r="FD24" s="79"/>
      <c r="FE24" s="79"/>
      <c r="FF24" s="79"/>
      <c r="FG24" s="79"/>
      <c r="FH24" s="79"/>
      <c r="FI24" s="79"/>
      <c r="FJ24" s="79"/>
      <c r="FK24" s="79"/>
      <c r="FL24" s="79"/>
      <c r="FM24" s="79"/>
      <c r="FN24" s="79"/>
      <c r="FO24" s="79"/>
      <c r="FP24" s="79"/>
      <c r="FQ24" s="79"/>
      <c r="FR24" s="79"/>
      <c r="FS24" s="79"/>
      <c r="FT24" s="79"/>
      <c r="FU24" s="79"/>
      <c r="FV24" s="79"/>
      <c r="FW24" s="79"/>
      <c r="FX24" s="79"/>
      <c r="FY24" s="79"/>
      <c r="FZ24" s="79"/>
      <c r="GA24" s="79"/>
      <c r="GB24" s="79"/>
      <c r="GC24" s="79"/>
      <c r="GD24" s="79"/>
      <c r="GE24" s="79"/>
      <c r="GF24" s="79"/>
      <c r="GG24" s="79"/>
      <c r="GH24" s="79"/>
      <c r="GI24" s="79"/>
      <c r="GJ24" s="79"/>
      <c r="GK24" s="79"/>
      <c r="GL24" s="79"/>
      <c r="GM24" s="79"/>
      <c r="GN24" s="79"/>
      <c r="GO24" s="79"/>
      <c r="GP24" s="79"/>
      <c r="GQ24" s="79"/>
      <c r="GR24" s="79"/>
      <c r="GS24" s="79"/>
      <c r="GT24" s="79"/>
      <c r="GU24" s="79"/>
      <c r="GV24" s="79"/>
      <c r="GW24" s="79"/>
      <c r="GX24" s="79"/>
      <c r="GY24" s="79"/>
      <c r="GZ24" s="79"/>
      <c r="HA24" s="79"/>
      <c r="HB24" s="79"/>
      <c r="HC24" s="79"/>
      <c r="HD24" s="79"/>
      <c r="HE24" s="79"/>
      <c r="HF24" s="79"/>
      <c r="HG24" s="79"/>
      <c r="HH24" s="79"/>
      <c r="HI24" s="79"/>
      <c r="HJ24" s="79"/>
      <c r="HK24" s="79"/>
      <c r="HL24" s="79"/>
      <c r="HM24" s="79"/>
      <c r="HN24" s="79"/>
      <c r="HO24" s="79"/>
      <c r="HP24" s="79"/>
      <c r="HQ24" s="79"/>
      <c r="HR24" s="79"/>
      <c r="HS24" s="79"/>
      <c r="HT24" s="79"/>
      <c r="HU24" s="79"/>
      <c r="HV24" s="79"/>
      <c r="HW24" s="79"/>
      <c r="HX24" s="79"/>
      <c r="HY24" s="79"/>
      <c r="HZ24" s="79"/>
      <c r="IA24" s="79"/>
      <c r="IB24" s="79"/>
      <c r="IC24" s="79"/>
      <c r="ID24" s="79"/>
      <c r="IE24" s="79"/>
      <c r="IF24" s="79"/>
      <c r="IG24" s="79"/>
      <c r="IH24" s="79"/>
      <c r="II24" s="79"/>
      <c r="IJ24" s="79"/>
      <c r="IK24" s="79"/>
      <c r="IL24" s="79"/>
      <c r="IM24" s="79"/>
      <c r="IN24" s="79"/>
      <c r="IO24" s="79"/>
      <c r="IP24" s="79"/>
      <c r="IQ24" s="79"/>
      <c r="IR24" s="79"/>
      <c r="IS24" s="79"/>
      <c r="IT24" s="79"/>
    </row>
    <row r="25" spans="1:254" x14ac:dyDescent="0.25">
      <c r="A25" s="156"/>
      <c r="B25" s="156"/>
      <c r="C25" s="156"/>
      <c r="D25" s="156"/>
      <c r="E25" s="156"/>
      <c r="F25" s="156"/>
      <c r="G25" s="47"/>
      <c r="H25" s="47"/>
      <c r="I25" s="47"/>
      <c r="J25" s="48"/>
      <c r="V25" s="51"/>
      <c r="W25" s="51"/>
      <c r="X25" s="47"/>
    </row>
    <row r="26" spans="1:254" x14ac:dyDescent="0.25">
      <c r="A26" s="83"/>
      <c r="B26" s="83"/>
      <c r="C26" s="83"/>
      <c r="D26" s="83"/>
      <c r="E26" s="83"/>
      <c r="F26" s="83"/>
      <c r="G26" s="47"/>
      <c r="H26" s="47"/>
      <c r="I26" s="47"/>
      <c r="J26" s="48"/>
      <c r="V26" s="51"/>
      <c r="W26" s="51"/>
      <c r="X26" s="47"/>
    </row>
    <row r="27" spans="1:254" x14ac:dyDescent="0.25">
      <c r="A27" s="83"/>
      <c r="B27" s="83"/>
      <c r="C27" s="83"/>
      <c r="D27" s="83"/>
      <c r="E27" s="83"/>
      <c r="F27" s="83"/>
      <c r="G27" s="47"/>
      <c r="H27" s="47"/>
      <c r="I27" s="47"/>
      <c r="J27" s="48"/>
      <c r="V27" s="51"/>
      <c r="W27" s="51"/>
      <c r="X27" s="47"/>
    </row>
    <row r="28" spans="1:254" x14ac:dyDescent="0.25">
      <c r="A28" s="154"/>
      <c r="B28" s="154"/>
      <c r="C28" s="154"/>
      <c r="D28" s="154"/>
      <c r="E28" s="154"/>
      <c r="F28" s="154"/>
      <c r="G28" s="78"/>
      <c r="H28" s="78"/>
      <c r="I28" s="78"/>
      <c r="J28" s="78"/>
      <c r="V28" s="79"/>
      <c r="W28" s="79"/>
      <c r="X28" s="80"/>
      <c r="Y28" s="81"/>
      <c r="Z28" s="155"/>
      <c r="AA28" s="155"/>
      <c r="AB28" s="155"/>
      <c r="AC28" s="82"/>
      <c r="AD28" s="82"/>
      <c r="AE28" s="82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79"/>
      <c r="CK28" s="79"/>
      <c r="CL28" s="79"/>
      <c r="CM28" s="79"/>
      <c r="CN28" s="79"/>
      <c r="CO28" s="79"/>
      <c r="CP28" s="79"/>
      <c r="CQ28" s="79"/>
      <c r="CR28" s="79"/>
      <c r="CS28" s="79"/>
      <c r="CT28" s="79"/>
      <c r="CU28" s="79"/>
      <c r="CV28" s="79"/>
      <c r="CW28" s="79"/>
      <c r="CX28" s="79"/>
      <c r="CY28" s="79"/>
      <c r="CZ28" s="79"/>
      <c r="DA28" s="79"/>
      <c r="DB28" s="79"/>
      <c r="DC28" s="79"/>
      <c r="DD28" s="79"/>
      <c r="DE28" s="79"/>
      <c r="DF28" s="79"/>
      <c r="DG28" s="79"/>
      <c r="DH28" s="79"/>
      <c r="DI28" s="79"/>
      <c r="DJ28" s="79"/>
      <c r="DK28" s="79"/>
      <c r="DL28" s="79"/>
      <c r="DM28" s="79"/>
      <c r="DN28" s="79"/>
      <c r="DO28" s="79"/>
      <c r="DP28" s="79"/>
      <c r="DQ28" s="79"/>
      <c r="DR28" s="79"/>
      <c r="DS28" s="79"/>
      <c r="DT28" s="79"/>
      <c r="DU28" s="79"/>
      <c r="DV28" s="79"/>
      <c r="DW28" s="79"/>
      <c r="DX28" s="79"/>
      <c r="DY28" s="79"/>
      <c r="DZ28" s="79"/>
      <c r="EA28" s="79"/>
      <c r="EB28" s="79"/>
      <c r="EC28" s="79"/>
      <c r="ED28" s="79"/>
      <c r="EE28" s="79"/>
      <c r="EF28" s="79"/>
      <c r="EG28" s="79"/>
      <c r="EH28" s="79"/>
      <c r="EI28" s="79"/>
      <c r="EJ28" s="79"/>
      <c r="EK28" s="79"/>
      <c r="EL28" s="79"/>
      <c r="EM28" s="79"/>
      <c r="EN28" s="79"/>
      <c r="EO28" s="79"/>
      <c r="EP28" s="79"/>
      <c r="EQ28" s="79"/>
      <c r="ER28" s="79"/>
      <c r="ES28" s="79"/>
      <c r="ET28" s="79"/>
      <c r="EU28" s="79"/>
      <c r="EV28" s="79"/>
      <c r="EW28" s="79"/>
      <c r="EX28" s="79"/>
      <c r="EY28" s="79"/>
      <c r="EZ28" s="79"/>
      <c r="FA28" s="79"/>
      <c r="FB28" s="79"/>
      <c r="FC28" s="79"/>
      <c r="FD28" s="79"/>
      <c r="FE28" s="79"/>
      <c r="FF28" s="79"/>
      <c r="FG28" s="79"/>
      <c r="FH28" s="79"/>
      <c r="FI28" s="79"/>
      <c r="FJ28" s="79"/>
      <c r="FK28" s="79"/>
      <c r="FL28" s="79"/>
      <c r="FM28" s="79"/>
      <c r="FN28" s="79"/>
      <c r="FO28" s="79"/>
      <c r="FP28" s="79"/>
      <c r="FQ28" s="79"/>
      <c r="FR28" s="79"/>
      <c r="FS28" s="79"/>
      <c r="FT28" s="79"/>
      <c r="FU28" s="79"/>
      <c r="FV28" s="79"/>
      <c r="FW28" s="79"/>
      <c r="FX28" s="79"/>
      <c r="FY28" s="79"/>
      <c r="FZ28" s="79"/>
      <c r="GA28" s="79"/>
      <c r="GB28" s="79"/>
      <c r="GC28" s="79"/>
      <c r="GD28" s="79"/>
      <c r="GE28" s="79"/>
      <c r="GF28" s="79"/>
      <c r="GG28" s="79"/>
      <c r="GH28" s="79"/>
      <c r="GI28" s="79"/>
      <c r="GJ28" s="79"/>
      <c r="GK28" s="79"/>
      <c r="GL28" s="79"/>
      <c r="GM28" s="79"/>
      <c r="GN28" s="79"/>
      <c r="GO28" s="79"/>
      <c r="GP28" s="79"/>
      <c r="GQ28" s="79"/>
      <c r="GR28" s="79"/>
      <c r="GS28" s="79"/>
      <c r="GT28" s="79"/>
      <c r="GU28" s="79"/>
      <c r="GV28" s="79"/>
      <c r="GW28" s="79"/>
      <c r="GX28" s="79"/>
      <c r="GY28" s="79"/>
      <c r="GZ28" s="79"/>
      <c r="HA28" s="79"/>
      <c r="HB28" s="79"/>
      <c r="HC28" s="79"/>
      <c r="HD28" s="79"/>
      <c r="HE28" s="79"/>
      <c r="HF28" s="79"/>
      <c r="HG28" s="79"/>
      <c r="HH28" s="79"/>
      <c r="HI28" s="79"/>
      <c r="HJ28" s="79"/>
      <c r="HK28" s="79"/>
      <c r="HL28" s="79"/>
      <c r="HM28" s="79"/>
      <c r="HN28" s="79"/>
      <c r="HO28" s="79"/>
      <c r="HP28" s="79"/>
      <c r="HQ28" s="79"/>
      <c r="HR28" s="79"/>
      <c r="HS28" s="79"/>
      <c r="HT28" s="79"/>
      <c r="HU28" s="79"/>
      <c r="HV28" s="79"/>
      <c r="HW28" s="79"/>
      <c r="HX28" s="79"/>
      <c r="HY28" s="79"/>
      <c r="HZ28" s="79"/>
      <c r="IA28" s="79"/>
      <c r="IB28" s="79"/>
      <c r="IC28" s="79"/>
      <c r="ID28" s="79"/>
      <c r="IE28" s="79"/>
      <c r="IF28" s="79"/>
      <c r="IG28" s="79"/>
      <c r="IH28" s="79"/>
      <c r="II28" s="79"/>
      <c r="IJ28" s="79"/>
      <c r="IK28" s="79"/>
      <c r="IL28" s="79"/>
      <c r="IM28" s="79"/>
      <c r="IN28" s="79"/>
      <c r="IO28" s="79"/>
      <c r="IP28" s="79"/>
      <c r="IQ28" s="79"/>
      <c r="IR28" s="79"/>
      <c r="IS28" s="79"/>
      <c r="IT28" s="79"/>
    </row>
    <row r="29" spans="1:254" x14ac:dyDescent="0.25">
      <c r="A29" s="77"/>
      <c r="B29" s="77"/>
      <c r="C29" s="77"/>
      <c r="D29" s="77"/>
      <c r="E29" s="77"/>
      <c r="F29" s="77"/>
      <c r="G29" s="78"/>
      <c r="H29" s="78"/>
      <c r="I29" s="78"/>
      <c r="J29" s="78"/>
      <c r="V29" s="79"/>
      <c r="W29" s="79"/>
      <c r="X29" s="80"/>
      <c r="Y29" s="81"/>
      <c r="Z29" s="46"/>
      <c r="AA29" s="46"/>
      <c r="AB29" s="46"/>
      <c r="AC29" s="82"/>
      <c r="AD29" s="82"/>
      <c r="AE29" s="82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79"/>
      <c r="CH29" s="79"/>
      <c r="CI29" s="79"/>
      <c r="CJ29" s="79"/>
      <c r="CK29" s="79"/>
      <c r="CL29" s="79"/>
      <c r="CM29" s="79"/>
      <c r="CN29" s="79"/>
      <c r="CO29" s="79"/>
      <c r="CP29" s="79"/>
      <c r="CQ29" s="79"/>
      <c r="CR29" s="79"/>
      <c r="CS29" s="79"/>
      <c r="CT29" s="79"/>
      <c r="CU29" s="79"/>
      <c r="CV29" s="79"/>
      <c r="CW29" s="79"/>
      <c r="CX29" s="79"/>
      <c r="CY29" s="79"/>
      <c r="CZ29" s="79"/>
      <c r="DA29" s="79"/>
      <c r="DB29" s="79"/>
      <c r="DC29" s="79"/>
      <c r="DD29" s="79"/>
      <c r="DE29" s="79"/>
      <c r="DF29" s="79"/>
      <c r="DG29" s="79"/>
      <c r="DH29" s="79"/>
      <c r="DI29" s="79"/>
      <c r="DJ29" s="79"/>
      <c r="DK29" s="79"/>
      <c r="DL29" s="79"/>
      <c r="DM29" s="79"/>
      <c r="DN29" s="79"/>
      <c r="DO29" s="79"/>
      <c r="DP29" s="79"/>
      <c r="DQ29" s="79"/>
      <c r="DR29" s="79"/>
      <c r="DS29" s="79"/>
      <c r="DT29" s="79"/>
      <c r="DU29" s="79"/>
      <c r="DV29" s="79"/>
      <c r="DW29" s="79"/>
      <c r="DX29" s="79"/>
      <c r="DY29" s="79"/>
      <c r="DZ29" s="79"/>
      <c r="EA29" s="79"/>
      <c r="EB29" s="79"/>
      <c r="EC29" s="79"/>
      <c r="ED29" s="79"/>
      <c r="EE29" s="79"/>
      <c r="EF29" s="79"/>
      <c r="EG29" s="79"/>
      <c r="EH29" s="79"/>
      <c r="EI29" s="79"/>
      <c r="EJ29" s="79"/>
      <c r="EK29" s="79"/>
      <c r="EL29" s="79"/>
      <c r="EM29" s="79"/>
      <c r="EN29" s="79"/>
      <c r="EO29" s="79"/>
      <c r="EP29" s="79"/>
      <c r="EQ29" s="79"/>
      <c r="ER29" s="79"/>
      <c r="ES29" s="79"/>
      <c r="ET29" s="79"/>
      <c r="EU29" s="79"/>
      <c r="EV29" s="79"/>
      <c r="EW29" s="79"/>
      <c r="EX29" s="79"/>
      <c r="EY29" s="79"/>
      <c r="EZ29" s="79"/>
      <c r="FA29" s="79"/>
      <c r="FB29" s="79"/>
      <c r="FC29" s="79"/>
      <c r="FD29" s="79"/>
      <c r="FE29" s="79"/>
      <c r="FF29" s="79"/>
      <c r="FG29" s="79"/>
      <c r="FH29" s="79"/>
      <c r="FI29" s="79"/>
      <c r="FJ29" s="79"/>
      <c r="FK29" s="79"/>
      <c r="FL29" s="79"/>
      <c r="FM29" s="79"/>
      <c r="FN29" s="79"/>
      <c r="FO29" s="79"/>
      <c r="FP29" s="79"/>
      <c r="FQ29" s="79"/>
      <c r="FR29" s="79"/>
      <c r="FS29" s="79"/>
      <c r="FT29" s="79"/>
      <c r="FU29" s="79"/>
      <c r="FV29" s="79"/>
      <c r="FW29" s="79"/>
      <c r="FX29" s="79"/>
      <c r="FY29" s="79"/>
      <c r="FZ29" s="79"/>
      <c r="GA29" s="79"/>
      <c r="GB29" s="79"/>
      <c r="GC29" s="79"/>
      <c r="GD29" s="79"/>
      <c r="GE29" s="79"/>
      <c r="GF29" s="79"/>
      <c r="GG29" s="79"/>
      <c r="GH29" s="79"/>
      <c r="GI29" s="79"/>
      <c r="GJ29" s="79"/>
      <c r="GK29" s="79"/>
      <c r="GL29" s="79"/>
      <c r="GM29" s="79"/>
      <c r="GN29" s="79"/>
      <c r="GO29" s="79"/>
      <c r="GP29" s="79"/>
      <c r="GQ29" s="79"/>
      <c r="GR29" s="79"/>
      <c r="GS29" s="79"/>
      <c r="GT29" s="79"/>
      <c r="GU29" s="79"/>
      <c r="GV29" s="79"/>
      <c r="GW29" s="79"/>
      <c r="GX29" s="79"/>
      <c r="GY29" s="79"/>
      <c r="GZ29" s="79"/>
      <c r="HA29" s="79"/>
      <c r="HB29" s="79"/>
      <c r="HC29" s="79"/>
      <c r="HD29" s="79"/>
      <c r="HE29" s="79"/>
      <c r="HF29" s="79"/>
      <c r="HG29" s="79"/>
      <c r="HH29" s="79"/>
      <c r="HI29" s="79"/>
      <c r="HJ29" s="79"/>
      <c r="HK29" s="79"/>
      <c r="HL29" s="79"/>
      <c r="HM29" s="79"/>
      <c r="HN29" s="79"/>
      <c r="HO29" s="79"/>
      <c r="HP29" s="79"/>
      <c r="HQ29" s="79"/>
      <c r="HR29" s="79"/>
      <c r="HS29" s="79"/>
      <c r="HT29" s="79"/>
      <c r="HU29" s="79"/>
      <c r="HV29" s="79"/>
      <c r="HW29" s="79"/>
      <c r="HX29" s="79"/>
      <c r="HY29" s="79"/>
      <c r="HZ29" s="79"/>
      <c r="IA29" s="79"/>
      <c r="IB29" s="79"/>
      <c r="IC29" s="79"/>
      <c r="ID29" s="79"/>
      <c r="IE29" s="79"/>
      <c r="IF29" s="79"/>
      <c r="IG29" s="79"/>
      <c r="IH29" s="79"/>
      <c r="II29" s="79"/>
      <c r="IJ29" s="79"/>
      <c r="IK29" s="79"/>
      <c r="IL29" s="79"/>
      <c r="IM29" s="79"/>
      <c r="IN29" s="79"/>
      <c r="IO29" s="79"/>
      <c r="IP29" s="79"/>
      <c r="IQ29" s="79"/>
      <c r="IR29" s="79"/>
      <c r="IS29" s="79"/>
      <c r="IT29" s="79"/>
    </row>
    <row r="30" spans="1:254" x14ac:dyDescent="0.25">
      <c r="A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45"/>
      <c r="P30" s="45"/>
      <c r="Q30" s="45"/>
      <c r="R30" s="45"/>
      <c r="S30" s="43"/>
      <c r="T30" s="51"/>
      <c r="U30" s="51"/>
      <c r="V30" s="51"/>
      <c r="W30" s="51"/>
      <c r="X30" s="51"/>
    </row>
    <row r="31" spans="1:254" x14ac:dyDescent="0.25">
      <c r="A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45"/>
      <c r="P31" s="45"/>
      <c r="Q31" s="45"/>
      <c r="R31" s="45"/>
      <c r="S31" s="43"/>
      <c r="T31" s="51"/>
      <c r="U31" s="51"/>
      <c r="V31" s="51"/>
      <c r="W31" s="51"/>
      <c r="X31" s="51"/>
    </row>
    <row r="32" spans="1:254" x14ac:dyDescent="0.25">
      <c r="A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45"/>
      <c r="P32" s="45"/>
      <c r="Q32" s="45"/>
      <c r="R32" s="45"/>
      <c r="S32" s="43"/>
      <c r="T32" s="51"/>
      <c r="U32" s="51"/>
      <c r="V32" s="51"/>
      <c r="W32" s="51"/>
      <c r="X32" s="51"/>
    </row>
    <row r="33" spans="15:19" s="51" customFormat="1" x14ac:dyDescent="0.25">
      <c r="O33" s="45"/>
      <c r="P33" s="45"/>
      <c r="Q33" s="45"/>
      <c r="R33" s="45"/>
      <c r="S33" s="43"/>
    </row>
    <row r="34" spans="15:19" s="51" customFormat="1" x14ac:dyDescent="0.25">
      <c r="O34" s="45"/>
      <c r="P34" s="45"/>
      <c r="Q34" s="45"/>
      <c r="R34" s="45"/>
      <c r="S34" s="43"/>
    </row>
    <row r="35" spans="15:19" s="51" customFormat="1" x14ac:dyDescent="0.25">
      <c r="O35" s="45"/>
      <c r="P35" s="45"/>
      <c r="Q35" s="45"/>
      <c r="R35" s="45"/>
      <c r="S35" s="43"/>
    </row>
    <row r="36" spans="15:19" s="51" customFormat="1" x14ac:dyDescent="0.25">
      <c r="O36" s="45"/>
      <c r="P36" s="45"/>
      <c r="Q36" s="45"/>
      <c r="R36" s="45"/>
      <c r="S36" s="43"/>
    </row>
    <row r="37" spans="15:19" s="51" customFormat="1" x14ac:dyDescent="0.25">
      <c r="O37" s="45"/>
      <c r="P37" s="45"/>
      <c r="Q37" s="45"/>
      <c r="R37" s="45"/>
      <c r="S37" s="43"/>
    </row>
    <row r="38" spans="15:19" s="51" customFormat="1" x14ac:dyDescent="0.25">
      <c r="O38" s="45"/>
      <c r="P38" s="45"/>
      <c r="Q38" s="45"/>
      <c r="R38" s="45"/>
      <c r="S38" s="43"/>
    </row>
    <row r="39" spans="15:19" s="51" customFormat="1" x14ac:dyDescent="0.25">
      <c r="O39" s="45"/>
      <c r="P39" s="45"/>
      <c r="Q39" s="45"/>
      <c r="R39" s="45"/>
      <c r="S39" s="43"/>
    </row>
    <row r="40" spans="15:19" s="51" customFormat="1" x14ac:dyDescent="0.25">
      <c r="O40" s="45"/>
      <c r="P40" s="45"/>
      <c r="Q40" s="45"/>
      <c r="R40" s="45"/>
      <c r="S40" s="43"/>
    </row>
    <row r="41" spans="15:19" s="51" customFormat="1" x14ac:dyDescent="0.25">
      <c r="O41" s="45"/>
      <c r="P41" s="45"/>
      <c r="Q41" s="45"/>
      <c r="R41" s="45"/>
      <c r="S41" s="43"/>
    </row>
    <row r="42" spans="15:19" s="51" customFormat="1" x14ac:dyDescent="0.25">
      <c r="O42" s="45"/>
      <c r="P42" s="45"/>
      <c r="Q42" s="45"/>
      <c r="R42" s="45"/>
      <c r="S42" s="43"/>
    </row>
    <row r="43" spans="15:19" s="51" customFormat="1" x14ac:dyDescent="0.25">
      <c r="O43" s="45"/>
      <c r="P43" s="45"/>
      <c r="Q43" s="45"/>
      <c r="R43" s="45"/>
      <c r="S43" s="43"/>
    </row>
    <row r="44" spans="15:19" s="51" customFormat="1" x14ac:dyDescent="0.25">
      <c r="O44" s="45"/>
      <c r="P44" s="45"/>
      <c r="Q44" s="45"/>
      <c r="R44" s="45"/>
      <c r="S44" s="43"/>
    </row>
    <row r="45" spans="15:19" s="51" customFormat="1" x14ac:dyDescent="0.25">
      <c r="O45" s="45"/>
      <c r="P45" s="45"/>
      <c r="Q45" s="45"/>
      <c r="R45" s="45"/>
      <c r="S45" s="43"/>
    </row>
    <row r="46" spans="15:19" s="51" customFormat="1" x14ac:dyDescent="0.25">
      <c r="O46" s="45"/>
      <c r="P46" s="45"/>
      <c r="Q46" s="45"/>
      <c r="R46" s="45"/>
      <c r="S46" s="43"/>
    </row>
    <row r="47" spans="15:19" s="51" customFormat="1" x14ac:dyDescent="0.25">
      <c r="O47" s="45"/>
      <c r="P47" s="45"/>
      <c r="Q47" s="45"/>
      <c r="R47" s="45"/>
      <c r="S47" s="43"/>
    </row>
    <row r="48" spans="15:19" s="51" customFormat="1" x14ac:dyDescent="0.25">
      <c r="O48" s="45"/>
      <c r="P48" s="45"/>
      <c r="Q48" s="45"/>
      <c r="R48" s="45"/>
      <c r="S48" s="43"/>
    </row>
    <row r="49" spans="15:19" s="51" customFormat="1" x14ac:dyDescent="0.25">
      <c r="O49" s="45"/>
      <c r="P49" s="45"/>
      <c r="Q49" s="45"/>
      <c r="R49" s="45"/>
      <c r="S49" s="43"/>
    </row>
    <row r="50" spans="15:19" s="51" customFormat="1" x14ac:dyDescent="0.25">
      <c r="O50" s="45"/>
      <c r="P50" s="45"/>
      <c r="Q50" s="45"/>
      <c r="R50" s="45"/>
      <c r="S50" s="43"/>
    </row>
    <row r="51" spans="15:19" s="51" customFormat="1" x14ac:dyDescent="0.25">
      <c r="O51" s="45"/>
      <c r="P51" s="45"/>
      <c r="Q51" s="45"/>
      <c r="R51" s="45"/>
      <c r="S51" s="43"/>
    </row>
    <row r="52" spans="15:19" s="51" customFormat="1" x14ac:dyDescent="0.25">
      <c r="O52" s="45"/>
      <c r="P52" s="45"/>
      <c r="Q52" s="45"/>
      <c r="R52" s="45"/>
      <c r="S52" s="43"/>
    </row>
    <row r="53" spans="15:19" s="51" customFormat="1" x14ac:dyDescent="0.25">
      <c r="O53" s="45"/>
      <c r="P53" s="45"/>
      <c r="Q53" s="45"/>
      <c r="R53" s="45"/>
      <c r="S53" s="43"/>
    </row>
    <row r="54" spans="15:19" s="51" customFormat="1" x14ac:dyDescent="0.25">
      <c r="O54" s="45"/>
      <c r="P54" s="45"/>
      <c r="Q54" s="45"/>
      <c r="R54" s="45"/>
      <c r="S54" s="43"/>
    </row>
    <row r="55" spans="15:19" s="51" customFormat="1" x14ac:dyDescent="0.25">
      <c r="O55" s="45"/>
      <c r="P55" s="45"/>
      <c r="Q55" s="45"/>
      <c r="R55" s="45"/>
      <c r="S55" s="43"/>
    </row>
    <row r="56" spans="15:19" s="51" customFormat="1" x14ac:dyDescent="0.25">
      <c r="O56" s="45"/>
      <c r="P56" s="45"/>
      <c r="Q56" s="45"/>
      <c r="R56" s="45"/>
      <c r="S56" s="43"/>
    </row>
    <row r="57" spans="15:19" s="51" customFormat="1" x14ac:dyDescent="0.25">
      <c r="O57" s="45"/>
      <c r="P57" s="45"/>
      <c r="Q57" s="45"/>
      <c r="R57" s="45"/>
      <c r="S57" s="43"/>
    </row>
    <row r="58" spans="15:19" s="51" customFormat="1" x14ac:dyDescent="0.25">
      <c r="O58" s="45"/>
      <c r="P58" s="45"/>
      <c r="Q58" s="45"/>
      <c r="R58" s="45"/>
      <c r="S58" s="43"/>
    </row>
    <row r="59" spans="15:19" s="51" customFormat="1" x14ac:dyDescent="0.25">
      <c r="O59" s="45"/>
      <c r="P59" s="45"/>
      <c r="Q59" s="45"/>
      <c r="R59" s="45"/>
      <c r="S59" s="43"/>
    </row>
    <row r="60" spans="15:19" s="51" customFormat="1" x14ac:dyDescent="0.25">
      <c r="O60" s="45"/>
      <c r="P60" s="45"/>
      <c r="Q60" s="45"/>
      <c r="R60" s="45"/>
      <c r="S60" s="43"/>
    </row>
    <row r="61" spans="15:19" s="51" customFormat="1" x14ac:dyDescent="0.25">
      <c r="O61" s="45"/>
      <c r="P61" s="45"/>
      <c r="Q61" s="45"/>
      <c r="R61" s="45"/>
      <c r="S61" s="43"/>
    </row>
    <row r="62" spans="15:19" s="51" customFormat="1" x14ac:dyDescent="0.25">
      <c r="O62" s="45"/>
      <c r="P62" s="45"/>
      <c r="Q62" s="45"/>
      <c r="R62" s="45"/>
      <c r="S62" s="43"/>
    </row>
    <row r="63" spans="15:19" s="51" customFormat="1" x14ac:dyDescent="0.25">
      <c r="O63" s="45"/>
      <c r="P63" s="45"/>
      <c r="Q63" s="45"/>
      <c r="R63" s="45"/>
      <c r="S63" s="43"/>
    </row>
    <row r="64" spans="15:19" s="51" customFormat="1" x14ac:dyDescent="0.25">
      <c r="O64" s="45"/>
      <c r="P64" s="45"/>
      <c r="Q64" s="45"/>
      <c r="R64" s="45"/>
      <c r="S64" s="43"/>
    </row>
    <row r="65" spans="15:19" s="51" customFormat="1" x14ac:dyDescent="0.25">
      <c r="O65" s="45"/>
      <c r="P65" s="45"/>
      <c r="Q65" s="45"/>
      <c r="R65" s="45"/>
      <c r="S65" s="43"/>
    </row>
    <row r="66" spans="15:19" s="51" customFormat="1" x14ac:dyDescent="0.25">
      <c r="O66" s="45"/>
      <c r="P66" s="45"/>
      <c r="Q66" s="45"/>
      <c r="R66" s="45"/>
      <c r="S66" s="43"/>
    </row>
    <row r="67" spans="15:19" s="51" customFormat="1" x14ac:dyDescent="0.25">
      <c r="O67" s="45"/>
      <c r="P67" s="45"/>
      <c r="Q67" s="45"/>
      <c r="R67" s="45"/>
      <c r="S67" s="43"/>
    </row>
    <row r="68" spans="15:19" s="51" customFormat="1" x14ac:dyDescent="0.25">
      <c r="O68" s="45"/>
      <c r="P68" s="45"/>
      <c r="Q68" s="45"/>
      <c r="R68" s="45"/>
      <c r="S68" s="43"/>
    </row>
    <row r="69" spans="15:19" s="51" customFormat="1" x14ac:dyDescent="0.25">
      <c r="O69" s="45"/>
      <c r="P69" s="45"/>
      <c r="Q69" s="45"/>
      <c r="R69" s="45"/>
      <c r="S69" s="43"/>
    </row>
    <row r="70" spans="15:19" s="51" customFormat="1" x14ac:dyDescent="0.25">
      <c r="O70" s="45"/>
      <c r="P70" s="45"/>
      <c r="Q70" s="45"/>
      <c r="R70" s="45"/>
      <c r="S70" s="43"/>
    </row>
    <row r="71" spans="15:19" s="51" customFormat="1" x14ac:dyDescent="0.25">
      <c r="O71" s="45"/>
      <c r="P71" s="45"/>
      <c r="Q71" s="45"/>
      <c r="R71" s="45"/>
      <c r="S71" s="43"/>
    </row>
    <row r="72" spans="15:19" s="51" customFormat="1" x14ac:dyDescent="0.25">
      <c r="O72" s="45"/>
      <c r="P72" s="45"/>
      <c r="Q72" s="45"/>
      <c r="R72" s="45"/>
      <c r="S72" s="43"/>
    </row>
    <row r="73" spans="15:19" s="51" customFormat="1" x14ac:dyDescent="0.25">
      <c r="O73" s="45"/>
      <c r="P73" s="45"/>
      <c r="Q73" s="45"/>
      <c r="R73" s="45"/>
      <c r="S73" s="43"/>
    </row>
    <row r="74" spans="15:19" s="51" customFormat="1" x14ac:dyDescent="0.25">
      <c r="O74" s="45"/>
      <c r="P74" s="45"/>
      <c r="Q74" s="45"/>
      <c r="R74" s="45"/>
      <c r="S74" s="43"/>
    </row>
    <row r="75" spans="15:19" s="51" customFormat="1" x14ac:dyDescent="0.25">
      <c r="O75" s="45"/>
      <c r="P75" s="45"/>
      <c r="Q75" s="45"/>
      <c r="R75" s="45"/>
      <c r="S75" s="43"/>
    </row>
    <row r="76" spans="15:19" s="51" customFormat="1" x14ac:dyDescent="0.25">
      <c r="O76" s="45"/>
      <c r="P76" s="45"/>
      <c r="Q76" s="45"/>
      <c r="R76" s="45"/>
      <c r="S76" s="43"/>
    </row>
    <row r="77" spans="15:19" s="51" customFormat="1" x14ac:dyDescent="0.25">
      <c r="O77" s="45"/>
      <c r="P77" s="45"/>
      <c r="Q77" s="45"/>
      <c r="R77" s="45"/>
      <c r="S77" s="43"/>
    </row>
    <row r="78" spans="15:19" s="51" customFormat="1" x14ac:dyDescent="0.25">
      <c r="O78" s="45"/>
      <c r="P78" s="45"/>
      <c r="Q78" s="45"/>
      <c r="R78" s="45"/>
      <c r="S78" s="43"/>
    </row>
    <row r="79" spans="15:19" s="51" customFormat="1" x14ac:dyDescent="0.25">
      <c r="O79" s="45"/>
      <c r="P79" s="45"/>
      <c r="Q79" s="45"/>
      <c r="R79" s="45"/>
      <c r="S79" s="43"/>
    </row>
    <row r="80" spans="15:19" s="51" customFormat="1" x14ac:dyDescent="0.25">
      <c r="O80" s="45"/>
      <c r="P80" s="45"/>
      <c r="Q80" s="45"/>
      <c r="R80" s="45"/>
      <c r="S80" s="43"/>
    </row>
    <row r="81" spans="15:19" s="51" customFormat="1" x14ac:dyDescent="0.25">
      <c r="O81" s="45"/>
      <c r="P81" s="45"/>
      <c r="Q81" s="45"/>
      <c r="R81" s="45"/>
      <c r="S81" s="43"/>
    </row>
    <row r="82" spans="15:19" s="51" customFormat="1" x14ac:dyDescent="0.25">
      <c r="O82" s="45"/>
      <c r="P82" s="45"/>
      <c r="Q82" s="45"/>
      <c r="R82" s="45"/>
      <c r="S82" s="43"/>
    </row>
    <row r="83" spans="15:19" s="51" customFormat="1" x14ac:dyDescent="0.25">
      <c r="O83" s="45"/>
      <c r="P83" s="45"/>
      <c r="Q83" s="45"/>
      <c r="R83" s="45"/>
      <c r="S83" s="43"/>
    </row>
    <row r="84" spans="15:19" s="51" customFormat="1" x14ac:dyDescent="0.25">
      <c r="O84" s="45"/>
      <c r="P84" s="45"/>
      <c r="Q84" s="45"/>
      <c r="R84" s="45"/>
      <c r="S84" s="43"/>
    </row>
    <row r="85" spans="15:19" s="51" customFormat="1" x14ac:dyDescent="0.25">
      <c r="O85" s="45"/>
      <c r="P85" s="45"/>
      <c r="Q85" s="45"/>
      <c r="R85" s="45"/>
      <c r="S85" s="43"/>
    </row>
    <row r="86" spans="15:19" s="51" customFormat="1" x14ac:dyDescent="0.25">
      <c r="O86" s="45"/>
      <c r="P86" s="45"/>
      <c r="Q86" s="45"/>
      <c r="R86" s="45"/>
      <c r="S86" s="43"/>
    </row>
    <row r="87" spans="15:19" s="51" customFormat="1" x14ac:dyDescent="0.25">
      <c r="O87" s="45"/>
      <c r="P87" s="45"/>
      <c r="Q87" s="45"/>
      <c r="R87" s="45"/>
      <c r="S87" s="43"/>
    </row>
    <row r="88" spans="15:19" s="51" customFormat="1" x14ac:dyDescent="0.25">
      <c r="O88" s="45"/>
      <c r="P88" s="45"/>
      <c r="Q88" s="45"/>
      <c r="R88" s="45"/>
      <c r="S88" s="43"/>
    </row>
    <row r="89" spans="15:19" s="51" customFormat="1" x14ac:dyDescent="0.25">
      <c r="O89" s="45"/>
      <c r="P89" s="45"/>
      <c r="Q89" s="45"/>
      <c r="R89" s="45"/>
      <c r="S89" s="43"/>
    </row>
    <row r="90" spans="15:19" s="51" customFormat="1" x14ac:dyDescent="0.25">
      <c r="O90" s="45"/>
      <c r="P90" s="45"/>
      <c r="Q90" s="45"/>
      <c r="R90" s="45"/>
      <c r="S90" s="43"/>
    </row>
    <row r="91" spans="15:19" s="51" customFormat="1" x14ac:dyDescent="0.25">
      <c r="O91" s="45"/>
      <c r="P91" s="45"/>
      <c r="Q91" s="45"/>
      <c r="R91" s="45"/>
      <c r="S91" s="43"/>
    </row>
    <row r="92" spans="15:19" s="51" customFormat="1" x14ac:dyDescent="0.25">
      <c r="O92" s="45"/>
      <c r="P92" s="45"/>
      <c r="Q92" s="45"/>
      <c r="R92" s="45"/>
      <c r="S92" s="43"/>
    </row>
    <row r="93" spans="15:19" s="51" customFormat="1" x14ac:dyDescent="0.25">
      <c r="O93" s="45"/>
      <c r="P93" s="45"/>
      <c r="Q93" s="45"/>
      <c r="R93" s="45"/>
      <c r="S93" s="43"/>
    </row>
    <row r="94" spans="15:19" s="51" customFormat="1" x14ac:dyDescent="0.25">
      <c r="O94" s="45"/>
      <c r="P94" s="45"/>
      <c r="Q94" s="45"/>
      <c r="R94" s="45"/>
      <c r="S94" s="43"/>
    </row>
    <row r="95" spans="15:19" s="51" customFormat="1" x14ac:dyDescent="0.25">
      <c r="O95" s="45"/>
      <c r="P95" s="45"/>
      <c r="Q95" s="45"/>
      <c r="R95" s="45"/>
      <c r="S95" s="43"/>
    </row>
    <row r="96" spans="15:19" s="51" customFormat="1" x14ac:dyDescent="0.25">
      <c r="O96" s="45"/>
      <c r="P96" s="45"/>
      <c r="Q96" s="45"/>
      <c r="R96" s="45"/>
      <c r="S96" s="43"/>
    </row>
    <row r="97" spans="15:19" s="51" customFormat="1" x14ac:dyDescent="0.25">
      <c r="O97" s="45"/>
      <c r="P97" s="45"/>
      <c r="Q97" s="45"/>
      <c r="R97" s="45"/>
      <c r="S97" s="43"/>
    </row>
    <row r="98" spans="15:19" s="51" customFormat="1" x14ac:dyDescent="0.25">
      <c r="O98" s="45"/>
      <c r="P98" s="45"/>
      <c r="Q98" s="45"/>
      <c r="R98" s="45"/>
      <c r="S98" s="43"/>
    </row>
    <row r="99" spans="15:19" s="51" customFormat="1" x14ac:dyDescent="0.25">
      <c r="O99" s="45"/>
      <c r="P99" s="45"/>
      <c r="Q99" s="45"/>
      <c r="R99" s="45"/>
      <c r="S99" s="43"/>
    </row>
    <row r="100" spans="15:19" s="51" customFormat="1" x14ac:dyDescent="0.25">
      <c r="O100" s="45"/>
      <c r="P100" s="45"/>
      <c r="Q100" s="45"/>
      <c r="R100" s="45"/>
      <c r="S100" s="43"/>
    </row>
    <row r="101" spans="15:19" s="51" customFormat="1" x14ac:dyDescent="0.25">
      <c r="O101" s="45"/>
      <c r="P101" s="45"/>
      <c r="Q101" s="45"/>
      <c r="R101" s="45"/>
      <c r="S101" s="43"/>
    </row>
    <row r="102" spans="15:19" s="51" customFormat="1" x14ac:dyDescent="0.25">
      <c r="O102" s="45"/>
      <c r="P102" s="45"/>
      <c r="Q102" s="45"/>
      <c r="R102" s="45"/>
      <c r="S102" s="43"/>
    </row>
    <row r="103" spans="15:19" s="51" customFormat="1" x14ac:dyDescent="0.25">
      <c r="O103" s="45"/>
      <c r="P103" s="45"/>
      <c r="Q103" s="45"/>
      <c r="R103" s="45"/>
      <c r="S103" s="43"/>
    </row>
    <row r="104" spans="15:19" s="51" customFormat="1" x14ac:dyDescent="0.25">
      <c r="O104" s="45"/>
      <c r="P104" s="45"/>
      <c r="Q104" s="45"/>
      <c r="R104" s="45"/>
      <c r="S104" s="43"/>
    </row>
    <row r="105" spans="15:19" s="51" customFormat="1" x14ac:dyDescent="0.25">
      <c r="O105" s="45"/>
      <c r="P105" s="45"/>
      <c r="Q105" s="45"/>
      <c r="R105" s="45"/>
      <c r="S105" s="43"/>
    </row>
    <row r="106" spans="15:19" s="51" customFormat="1" x14ac:dyDescent="0.25">
      <c r="O106" s="45"/>
      <c r="P106" s="45"/>
      <c r="Q106" s="45"/>
      <c r="R106" s="45"/>
      <c r="S106" s="43"/>
    </row>
    <row r="107" spans="15:19" s="51" customFormat="1" x14ac:dyDescent="0.25">
      <c r="O107" s="45"/>
      <c r="P107" s="45"/>
      <c r="Q107" s="45"/>
      <c r="R107" s="45"/>
      <c r="S107" s="43"/>
    </row>
    <row r="108" spans="15:19" s="51" customFormat="1" x14ac:dyDescent="0.25">
      <c r="O108" s="45"/>
      <c r="P108" s="45"/>
      <c r="Q108" s="45"/>
      <c r="R108" s="45"/>
      <c r="S108" s="43"/>
    </row>
    <row r="109" spans="15:19" s="51" customFormat="1" x14ac:dyDescent="0.25">
      <c r="O109" s="45"/>
      <c r="P109" s="45"/>
      <c r="Q109" s="45"/>
      <c r="R109" s="45"/>
      <c r="S109" s="43"/>
    </row>
    <row r="110" spans="15:19" s="51" customFormat="1" x14ac:dyDescent="0.25">
      <c r="O110" s="45"/>
      <c r="P110" s="45"/>
      <c r="Q110" s="45"/>
      <c r="R110" s="45"/>
      <c r="S110" s="43"/>
    </row>
    <row r="111" spans="15:19" s="51" customFormat="1" x14ac:dyDescent="0.25">
      <c r="O111" s="45"/>
      <c r="P111" s="45"/>
      <c r="Q111" s="45"/>
      <c r="R111" s="45"/>
      <c r="S111" s="43"/>
    </row>
    <row r="112" spans="15:19" s="51" customFormat="1" x14ac:dyDescent="0.25">
      <c r="O112" s="45"/>
      <c r="P112" s="45"/>
      <c r="Q112" s="45"/>
      <c r="R112" s="45"/>
      <c r="S112" s="43"/>
    </row>
    <row r="113" spans="15:19" s="51" customFormat="1" x14ac:dyDescent="0.25">
      <c r="O113" s="45"/>
      <c r="P113" s="45"/>
      <c r="Q113" s="45"/>
      <c r="R113" s="45"/>
      <c r="S113" s="43"/>
    </row>
    <row r="114" spans="15:19" s="51" customFormat="1" x14ac:dyDescent="0.25">
      <c r="O114" s="45"/>
      <c r="P114" s="45"/>
      <c r="Q114" s="45"/>
      <c r="R114" s="45"/>
      <c r="S114" s="43"/>
    </row>
    <row r="115" spans="15:19" s="51" customFormat="1" x14ac:dyDescent="0.25">
      <c r="O115" s="45"/>
      <c r="P115" s="45"/>
      <c r="Q115" s="45"/>
      <c r="R115" s="45"/>
      <c r="S115" s="43"/>
    </row>
    <row r="116" spans="15:19" s="51" customFormat="1" x14ac:dyDescent="0.25">
      <c r="O116" s="45"/>
      <c r="P116" s="45"/>
      <c r="Q116" s="45"/>
      <c r="R116" s="45"/>
      <c r="S116" s="43"/>
    </row>
    <row r="117" spans="15:19" s="51" customFormat="1" x14ac:dyDescent="0.25">
      <c r="O117" s="45"/>
      <c r="P117" s="45"/>
      <c r="Q117" s="45"/>
      <c r="R117" s="45"/>
      <c r="S117" s="43"/>
    </row>
    <row r="118" spans="15:19" s="51" customFormat="1" x14ac:dyDescent="0.25">
      <c r="O118" s="45"/>
      <c r="P118" s="45"/>
      <c r="Q118" s="45"/>
      <c r="R118" s="45"/>
      <c r="S118" s="43"/>
    </row>
    <row r="119" spans="15:19" s="51" customFormat="1" x14ac:dyDescent="0.25">
      <c r="O119" s="45"/>
      <c r="P119" s="45"/>
      <c r="Q119" s="45"/>
      <c r="R119" s="45"/>
      <c r="S119" s="43"/>
    </row>
    <row r="120" spans="15:19" s="51" customFormat="1" x14ac:dyDescent="0.25">
      <c r="O120" s="45"/>
      <c r="P120" s="45"/>
      <c r="Q120" s="45"/>
      <c r="R120" s="45"/>
      <c r="S120" s="43"/>
    </row>
    <row r="121" spans="15:19" s="51" customFormat="1" x14ac:dyDescent="0.25">
      <c r="O121" s="45"/>
      <c r="P121" s="45"/>
      <c r="Q121" s="45"/>
      <c r="R121" s="45"/>
      <c r="S121" s="43"/>
    </row>
    <row r="122" spans="15:19" s="51" customFormat="1" x14ac:dyDescent="0.25">
      <c r="O122" s="45"/>
      <c r="P122" s="45"/>
      <c r="Q122" s="45"/>
      <c r="R122" s="45"/>
      <c r="S122" s="43"/>
    </row>
    <row r="123" spans="15:19" s="51" customFormat="1" x14ac:dyDescent="0.25">
      <c r="O123" s="45"/>
      <c r="P123" s="45"/>
      <c r="Q123" s="45"/>
      <c r="R123" s="45"/>
      <c r="S123" s="43"/>
    </row>
    <row r="124" spans="15:19" s="51" customFormat="1" x14ac:dyDescent="0.25">
      <c r="O124" s="45"/>
      <c r="P124" s="45"/>
      <c r="Q124" s="45"/>
      <c r="R124" s="45"/>
      <c r="S124" s="43"/>
    </row>
    <row r="125" spans="15:19" s="51" customFormat="1" x14ac:dyDescent="0.25">
      <c r="O125" s="45"/>
      <c r="P125" s="45"/>
      <c r="Q125" s="45"/>
      <c r="R125" s="45"/>
      <c r="S125" s="43"/>
    </row>
    <row r="126" spans="15:19" s="51" customFormat="1" x14ac:dyDescent="0.25">
      <c r="O126" s="45"/>
      <c r="P126" s="45"/>
      <c r="Q126" s="45"/>
      <c r="R126" s="45"/>
      <c r="S126" s="43"/>
    </row>
    <row r="127" spans="15:19" s="51" customFormat="1" x14ac:dyDescent="0.25">
      <c r="O127" s="45"/>
      <c r="P127" s="45"/>
      <c r="Q127" s="45"/>
      <c r="R127" s="45"/>
      <c r="S127" s="43"/>
    </row>
    <row r="128" spans="15:19" s="51" customFormat="1" x14ac:dyDescent="0.25">
      <c r="O128" s="45"/>
      <c r="P128" s="45"/>
      <c r="Q128" s="45"/>
      <c r="R128" s="45"/>
      <c r="S128" s="43"/>
    </row>
    <row r="129" spans="15:19" s="51" customFormat="1" x14ac:dyDescent="0.25">
      <c r="O129" s="45"/>
      <c r="P129" s="45"/>
      <c r="Q129" s="45"/>
      <c r="R129" s="45"/>
      <c r="S129" s="43"/>
    </row>
    <row r="130" spans="15:19" s="51" customFormat="1" x14ac:dyDescent="0.25">
      <c r="O130" s="45"/>
      <c r="P130" s="45"/>
      <c r="Q130" s="45"/>
      <c r="R130" s="45"/>
      <c r="S130" s="43"/>
    </row>
    <row r="131" spans="15:19" s="51" customFormat="1" x14ac:dyDescent="0.25">
      <c r="O131" s="45"/>
      <c r="P131" s="45"/>
      <c r="Q131" s="45"/>
      <c r="R131" s="45"/>
      <c r="S131" s="43"/>
    </row>
    <row r="132" spans="15:19" s="51" customFormat="1" x14ac:dyDescent="0.25">
      <c r="O132" s="45"/>
      <c r="P132" s="45"/>
      <c r="Q132" s="45"/>
      <c r="R132" s="45"/>
      <c r="S132" s="43"/>
    </row>
    <row r="133" spans="15:19" s="51" customFormat="1" x14ac:dyDescent="0.25">
      <c r="O133" s="45"/>
      <c r="P133" s="45"/>
      <c r="Q133" s="45"/>
      <c r="R133" s="45"/>
      <c r="S133" s="43"/>
    </row>
    <row r="134" spans="15:19" s="51" customFormat="1" x14ac:dyDescent="0.25">
      <c r="O134" s="45"/>
      <c r="P134" s="45"/>
      <c r="Q134" s="45"/>
      <c r="R134" s="45"/>
      <c r="S134" s="43"/>
    </row>
    <row r="135" spans="15:19" s="51" customFormat="1" x14ac:dyDescent="0.25">
      <c r="O135" s="45"/>
      <c r="P135" s="45"/>
      <c r="Q135" s="45"/>
      <c r="R135" s="45"/>
      <c r="S135" s="43"/>
    </row>
    <row r="136" spans="15:19" s="51" customFormat="1" x14ac:dyDescent="0.25">
      <c r="O136" s="45"/>
      <c r="P136" s="45"/>
      <c r="Q136" s="45"/>
      <c r="R136" s="45"/>
      <c r="S136" s="43"/>
    </row>
    <row r="137" spans="15:19" s="51" customFormat="1" x14ac:dyDescent="0.25">
      <c r="O137" s="45"/>
      <c r="P137" s="45"/>
      <c r="Q137" s="45"/>
      <c r="R137" s="45"/>
      <c r="S137" s="43"/>
    </row>
    <row r="138" spans="15:19" s="51" customFormat="1" x14ac:dyDescent="0.25">
      <c r="O138" s="45"/>
      <c r="P138" s="45"/>
      <c r="Q138" s="45"/>
      <c r="R138" s="45"/>
      <c r="S138" s="43"/>
    </row>
    <row r="139" spans="15:19" s="51" customFormat="1" x14ac:dyDescent="0.25">
      <c r="O139" s="45"/>
      <c r="P139" s="45"/>
      <c r="Q139" s="45"/>
      <c r="R139" s="45"/>
      <c r="S139" s="43"/>
    </row>
    <row r="140" spans="15:19" s="51" customFormat="1" x14ac:dyDescent="0.25">
      <c r="O140" s="45"/>
      <c r="P140" s="45"/>
      <c r="Q140" s="45"/>
      <c r="R140" s="45"/>
      <c r="S140" s="43"/>
    </row>
    <row r="141" spans="15:19" s="51" customFormat="1" x14ac:dyDescent="0.25">
      <c r="O141" s="45"/>
      <c r="P141" s="45"/>
      <c r="Q141" s="45"/>
      <c r="R141" s="45"/>
      <c r="S141" s="43"/>
    </row>
    <row r="142" spans="15:19" s="51" customFormat="1" x14ac:dyDescent="0.25">
      <c r="O142" s="45"/>
      <c r="P142" s="45"/>
      <c r="Q142" s="45"/>
      <c r="R142" s="45"/>
      <c r="S142" s="43"/>
    </row>
    <row r="143" spans="15:19" s="51" customFormat="1" x14ac:dyDescent="0.25">
      <c r="O143" s="45"/>
      <c r="P143" s="45"/>
      <c r="Q143" s="45"/>
      <c r="R143" s="45"/>
      <c r="S143" s="43"/>
    </row>
    <row r="144" spans="15:19" s="51" customFormat="1" x14ac:dyDescent="0.25">
      <c r="O144" s="45"/>
      <c r="P144" s="45"/>
      <c r="Q144" s="45"/>
      <c r="R144" s="45"/>
      <c r="S144" s="43"/>
    </row>
    <row r="145" spans="15:19" s="51" customFormat="1" x14ac:dyDescent="0.25">
      <c r="O145" s="45"/>
      <c r="P145" s="45"/>
      <c r="Q145" s="45"/>
      <c r="R145" s="45"/>
      <c r="S145" s="43"/>
    </row>
    <row r="146" spans="15:19" s="51" customFormat="1" x14ac:dyDescent="0.25">
      <c r="O146" s="45"/>
      <c r="P146" s="45"/>
      <c r="Q146" s="45"/>
      <c r="R146" s="45"/>
      <c r="S146" s="43"/>
    </row>
    <row r="147" spans="15:19" s="51" customFormat="1" x14ac:dyDescent="0.25">
      <c r="O147" s="45"/>
      <c r="P147" s="45"/>
      <c r="Q147" s="45"/>
      <c r="R147" s="45"/>
      <c r="S147" s="43"/>
    </row>
    <row r="148" spans="15:19" s="51" customFormat="1" x14ac:dyDescent="0.25">
      <c r="O148" s="45"/>
      <c r="P148" s="45"/>
      <c r="Q148" s="45"/>
      <c r="R148" s="45"/>
      <c r="S148" s="43"/>
    </row>
    <row r="149" spans="15:19" s="51" customFormat="1" x14ac:dyDescent="0.25">
      <c r="O149" s="45"/>
      <c r="P149" s="45"/>
      <c r="Q149" s="45"/>
      <c r="R149" s="45"/>
      <c r="S149" s="43"/>
    </row>
    <row r="150" spans="15:19" s="51" customFormat="1" x14ac:dyDescent="0.25">
      <c r="O150" s="45"/>
      <c r="P150" s="45"/>
      <c r="Q150" s="45"/>
      <c r="R150" s="45"/>
      <c r="S150" s="43"/>
    </row>
    <row r="151" spans="15:19" s="51" customFormat="1" x14ac:dyDescent="0.25">
      <c r="O151" s="45"/>
      <c r="P151" s="45"/>
      <c r="Q151" s="45"/>
      <c r="R151" s="45"/>
      <c r="S151" s="43"/>
    </row>
    <row r="152" spans="15:19" s="51" customFormat="1" x14ac:dyDescent="0.25">
      <c r="O152" s="45"/>
      <c r="P152" s="45"/>
      <c r="Q152" s="45"/>
      <c r="R152" s="45"/>
      <c r="S152" s="43"/>
    </row>
    <row r="153" spans="15:19" s="51" customFormat="1" x14ac:dyDescent="0.25">
      <c r="O153" s="45"/>
      <c r="P153" s="45"/>
      <c r="Q153" s="45"/>
      <c r="R153" s="45"/>
      <c r="S153" s="43"/>
    </row>
    <row r="154" spans="15:19" s="51" customFormat="1" x14ac:dyDescent="0.25">
      <c r="O154" s="45"/>
      <c r="P154" s="45"/>
      <c r="Q154" s="45"/>
      <c r="R154" s="45"/>
      <c r="S154" s="43"/>
    </row>
    <row r="155" spans="15:19" s="51" customFormat="1" x14ac:dyDescent="0.25">
      <c r="O155" s="45"/>
      <c r="P155" s="45"/>
      <c r="Q155" s="45"/>
      <c r="R155" s="45"/>
      <c r="S155" s="43"/>
    </row>
    <row r="156" spans="15:19" s="51" customFormat="1" x14ac:dyDescent="0.25">
      <c r="O156" s="45"/>
      <c r="P156" s="45"/>
      <c r="Q156" s="45"/>
      <c r="R156" s="45"/>
      <c r="S156" s="43"/>
    </row>
    <row r="157" spans="15:19" s="51" customFormat="1" x14ac:dyDescent="0.25">
      <c r="O157" s="45"/>
      <c r="P157" s="45"/>
      <c r="Q157" s="45"/>
      <c r="R157" s="45"/>
      <c r="S157" s="43"/>
    </row>
    <row r="158" spans="15:19" s="51" customFormat="1" x14ac:dyDescent="0.25">
      <c r="O158" s="45"/>
      <c r="P158" s="45"/>
      <c r="Q158" s="45"/>
      <c r="R158" s="45"/>
      <c r="S158" s="43"/>
    </row>
    <row r="159" spans="15:19" s="51" customFormat="1" x14ac:dyDescent="0.25">
      <c r="O159" s="45"/>
      <c r="P159" s="45"/>
      <c r="Q159" s="45"/>
      <c r="R159" s="45"/>
      <c r="S159" s="43"/>
    </row>
    <row r="160" spans="15:19" s="51" customFormat="1" x14ac:dyDescent="0.25">
      <c r="O160" s="45"/>
      <c r="P160" s="45"/>
      <c r="Q160" s="45"/>
      <c r="R160" s="45"/>
      <c r="S160" s="43"/>
    </row>
    <row r="161" spans="15:19" s="51" customFormat="1" x14ac:dyDescent="0.25">
      <c r="O161" s="45"/>
      <c r="P161" s="45"/>
      <c r="Q161" s="45"/>
      <c r="R161" s="45"/>
      <c r="S161" s="43"/>
    </row>
    <row r="162" spans="15:19" s="51" customFormat="1" x14ac:dyDescent="0.25">
      <c r="O162" s="45"/>
      <c r="P162" s="45"/>
      <c r="Q162" s="45"/>
      <c r="R162" s="45"/>
      <c r="S162" s="43"/>
    </row>
    <row r="163" spans="15:19" s="51" customFormat="1" x14ac:dyDescent="0.25">
      <c r="O163" s="45"/>
      <c r="P163" s="45"/>
      <c r="Q163" s="45"/>
      <c r="R163" s="45"/>
      <c r="S163" s="43"/>
    </row>
    <row r="164" spans="15:19" s="51" customFormat="1" x14ac:dyDescent="0.25">
      <c r="O164" s="45"/>
      <c r="P164" s="45"/>
      <c r="Q164" s="45"/>
      <c r="R164" s="45"/>
      <c r="S164" s="43"/>
    </row>
    <row r="165" spans="15:19" s="51" customFormat="1" x14ac:dyDescent="0.25">
      <c r="O165" s="45"/>
      <c r="P165" s="45"/>
      <c r="Q165" s="45"/>
      <c r="R165" s="45"/>
      <c r="S165" s="43"/>
    </row>
    <row r="166" spans="15:19" s="51" customFormat="1" x14ac:dyDescent="0.25">
      <c r="O166" s="45"/>
      <c r="P166" s="45"/>
      <c r="Q166" s="45"/>
      <c r="R166" s="45"/>
      <c r="S166" s="43"/>
    </row>
    <row r="167" spans="15:19" s="51" customFormat="1" x14ac:dyDescent="0.25">
      <c r="O167" s="45"/>
      <c r="P167" s="45"/>
      <c r="Q167" s="45"/>
      <c r="R167" s="45"/>
      <c r="S167" s="43"/>
    </row>
    <row r="168" spans="15:19" s="51" customFormat="1" x14ac:dyDescent="0.25">
      <c r="O168" s="45"/>
      <c r="P168" s="45"/>
      <c r="Q168" s="45"/>
      <c r="R168" s="45"/>
      <c r="S168" s="43"/>
    </row>
    <row r="169" spans="15:19" s="51" customFormat="1" x14ac:dyDescent="0.25">
      <c r="O169" s="45"/>
      <c r="P169" s="45"/>
      <c r="Q169" s="45"/>
      <c r="R169" s="45"/>
      <c r="S169" s="43"/>
    </row>
    <row r="170" spans="15:19" s="51" customFormat="1" x14ac:dyDescent="0.25">
      <c r="O170" s="45"/>
      <c r="P170" s="45"/>
      <c r="Q170" s="45"/>
      <c r="R170" s="45"/>
      <c r="S170" s="43"/>
    </row>
    <row r="171" spans="15:19" s="51" customFormat="1" x14ac:dyDescent="0.25">
      <c r="O171" s="45"/>
      <c r="P171" s="45"/>
      <c r="Q171" s="45"/>
      <c r="R171" s="45"/>
      <c r="S171" s="43"/>
    </row>
    <row r="172" spans="15:19" s="51" customFormat="1" x14ac:dyDescent="0.25">
      <c r="O172" s="45"/>
      <c r="P172" s="45"/>
      <c r="Q172" s="45"/>
      <c r="R172" s="45"/>
      <c r="S172" s="43"/>
    </row>
    <row r="173" spans="15:19" s="51" customFormat="1" x14ac:dyDescent="0.25">
      <c r="O173" s="45"/>
      <c r="P173" s="45"/>
      <c r="Q173" s="45"/>
      <c r="R173" s="45"/>
      <c r="S173" s="43"/>
    </row>
    <row r="174" spans="15:19" s="51" customFormat="1" x14ac:dyDescent="0.25">
      <c r="O174" s="45"/>
      <c r="P174" s="45"/>
      <c r="Q174" s="45"/>
      <c r="R174" s="45"/>
      <c r="S174" s="43"/>
    </row>
    <row r="175" spans="15:19" s="51" customFormat="1" x14ac:dyDescent="0.25">
      <c r="O175" s="45"/>
      <c r="P175" s="45"/>
      <c r="Q175" s="45"/>
      <c r="R175" s="45"/>
      <c r="S175" s="43"/>
    </row>
    <row r="176" spans="15:19" s="51" customFormat="1" x14ac:dyDescent="0.25">
      <c r="O176" s="45"/>
      <c r="P176" s="45"/>
      <c r="Q176" s="45"/>
      <c r="R176" s="45"/>
      <c r="S176" s="43"/>
    </row>
    <row r="177" spans="15:19" s="51" customFormat="1" x14ac:dyDescent="0.25">
      <c r="O177" s="45"/>
      <c r="P177" s="45"/>
      <c r="Q177" s="45"/>
      <c r="R177" s="45"/>
      <c r="S177" s="43"/>
    </row>
    <row r="178" spans="15:19" s="51" customFormat="1" x14ac:dyDescent="0.25">
      <c r="O178" s="45"/>
      <c r="P178" s="45"/>
      <c r="Q178" s="45"/>
      <c r="R178" s="45"/>
      <c r="S178" s="43"/>
    </row>
    <row r="179" spans="15:19" s="51" customFormat="1" x14ac:dyDescent="0.25">
      <c r="O179" s="45"/>
      <c r="P179" s="45"/>
      <c r="Q179" s="45"/>
      <c r="R179" s="45"/>
      <c r="S179" s="43"/>
    </row>
    <row r="180" spans="15:19" s="51" customFormat="1" x14ac:dyDescent="0.25">
      <c r="O180" s="45"/>
      <c r="P180" s="45"/>
      <c r="Q180" s="45"/>
      <c r="R180" s="45"/>
      <c r="S180" s="43"/>
    </row>
    <row r="181" spans="15:19" s="51" customFormat="1" x14ac:dyDescent="0.25">
      <c r="O181" s="45"/>
      <c r="P181" s="45"/>
      <c r="Q181" s="45"/>
      <c r="R181" s="45"/>
      <c r="S181" s="43"/>
    </row>
    <row r="182" spans="15:19" s="51" customFormat="1" x14ac:dyDescent="0.25">
      <c r="O182" s="45"/>
      <c r="P182" s="45"/>
      <c r="Q182" s="45"/>
      <c r="R182" s="45"/>
      <c r="S182" s="43"/>
    </row>
    <row r="183" spans="15:19" s="51" customFormat="1" x14ac:dyDescent="0.25">
      <c r="O183" s="45"/>
      <c r="P183" s="45"/>
      <c r="Q183" s="45"/>
      <c r="R183" s="45"/>
      <c r="S183" s="43"/>
    </row>
    <row r="184" spans="15:19" s="51" customFormat="1" x14ac:dyDescent="0.25">
      <c r="O184" s="45"/>
      <c r="P184" s="45"/>
      <c r="Q184" s="45"/>
      <c r="R184" s="45"/>
      <c r="S184" s="43"/>
    </row>
    <row r="185" spans="15:19" s="51" customFormat="1" x14ac:dyDescent="0.25">
      <c r="O185" s="45"/>
      <c r="P185" s="45"/>
      <c r="Q185" s="45"/>
      <c r="R185" s="45"/>
      <c r="S185" s="43"/>
    </row>
    <row r="186" spans="15:19" s="51" customFormat="1" x14ac:dyDescent="0.25">
      <c r="O186" s="45"/>
      <c r="P186" s="45"/>
      <c r="Q186" s="45"/>
      <c r="R186" s="45"/>
      <c r="S186" s="43"/>
    </row>
    <row r="187" spans="15:19" s="51" customFormat="1" x14ac:dyDescent="0.25">
      <c r="O187" s="45"/>
      <c r="P187" s="45"/>
      <c r="Q187" s="45"/>
      <c r="R187" s="45"/>
      <c r="S187" s="43"/>
    </row>
    <row r="188" spans="15:19" s="51" customFormat="1" x14ac:dyDescent="0.25">
      <c r="O188" s="45"/>
      <c r="P188" s="45"/>
      <c r="Q188" s="45"/>
      <c r="R188" s="45"/>
      <c r="S188" s="43"/>
    </row>
    <row r="189" spans="15:19" s="51" customFormat="1" x14ac:dyDescent="0.25">
      <c r="O189" s="45"/>
      <c r="P189" s="45"/>
      <c r="Q189" s="45"/>
      <c r="R189" s="45"/>
      <c r="S189" s="43"/>
    </row>
    <row r="190" spans="15:19" s="51" customFormat="1" x14ac:dyDescent="0.25">
      <c r="O190" s="45"/>
      <c r="P190" s="45"/>
      <c r="Q190" s="45"/>
      <c r="R190" s="45"/>
      <c r="S190" s="43"/>
    </row>
    <row r="191" spans="15:19" s="51" customFormat="1" x14ac:dyDescent="0.25">
      <c r="O191" s="45"/>
      <c r="P191" s="45"/>
      <c r="Q191" s="45"/>
      <c r="R191" s="45"/>
      <c r="S191" s="43"/>
    </row>
    <row r="192" spans="15:19" s="51" customFormat="1" x14ac:dyDescent="0.25">
      <c r="O192" s="45"/>
      <c r="P192" s="45"/>
      <c r="Q192" s="45"/>
      <c r="R192" s="45"/>
      <c r="S192" s="43"/>
    </row>
    <row r="193" spans="15:19" s="51" customFormat="1" x14ac:dyDescent="0.25">
      <c r="O193" s="45"/>
      <c r="P193" s="45"/>
      <c r="Q193" s="45"/>
      <c r="R193" s="45"/>
      <c r="S193" s="43"/>
    </row>
    <row r="194" spans="15:19" s="51" customFormat="1" x14ac:dyDescent="0.25">
      <c r="O194" s="45"/>
      <c r="P194" s="45"/>
      <c r="Q194" s="45"/>
      <c r="R194" s="45"/>
      <c r="S194" s="43"/>
    </row>
    <row r="195" spans="15:19" s="51" customFormat="1" x14ac:dyDescent="0.25">
      <c r="O195" s="45"/>
      <c r="P195" s="45"/>
      <c r="Q195" s="45"/>
      <c r="R195" s="45"/>
      <c r="S195" s="43"/>
    </row>
    <row r="196" spans="15:19" s="51" customFormat="1" x14ac:dyDescent="0.25">
      <c r="O196" s="45"/>
      <c r="P196" s="45"/>
      <c r="Q196" s="45"/>
      <c r="R196" s="45"/>
      <c r="S196" s="43"/>
    </row>
    <row r="197" spans="15:19" s="51" customFormat="1" x14ac:dyDescent="0.25">
      <c r="O197" s="45"/>
      <c r="P197" s="45"/>
      <c r="Q197" s="45"/>
      <c r="R197" s="45"/>
      <c r="S197" s="43"/>
    </row>
    <row r="198" spans="15:19" s="51" customFormat="1" x14ac:dyDescent="0.25">
      <c r="O198" s="45"/>
      <c r="P198" s="45"/>
      <c r="Q198" s="45"/>
      <c r="R198" s="45"/>
      <c r="S198" s="43"/>
    </row>
    <row r="199" spans="15:19" s="51" customFormat="1" x14ac:dyDescent="0.25">
      <c r="O199" s="45"/>
      <c r="P199" s="45"/>
      <c r="Q199" s="45"/>
      <c r="R199" s="45"/>
      <c r="S199" s="43"/>
    </row>
    <row r="200" spans="15:19" s="51" customFormat="1" x14ac:dyDescent="0.25">
      <c r="O200" s="45"/>
      <c r="P200" s="45"/>
      <c r="Q200" s="45"/>
      <c r="R200" s="45"/>
      <c r="S200" s="43"/>
    </row>
    <row r="201" spans="15:19" s="51" customFormat="1" x14ac:dyDescent="0.25">
      <c r="O201" s="45"/>
      <c r="P201" s="45"/>
      <c r="Q201" s="45"/>
      <c r="R201" s="45"/>
      <c r="S201" s="43"/>
    </row>
    <row r="202" spans="15:19" s="51" customFormat="1" x14ac:dyDescent="0.25">
      <c r="O202" s="45"/>
      <c r="P202" s="45"/>
      <c r="Q202" s="45"/>
      <c r="R202" s="45"/>
      <c r="S202" s="43"/>
    </row>
    <row r="203" spans="15:19" s="51" customFormat="1" x14ac:dyDescent="0.25">
      <c r="O203" s="45"/>
      <c r="P203" s="45"/>
      <c r="Q203" s="45"/>
      <c r="R203" s="45"/>
      <c r="S203" s="43"/>
    </row>
    <row r="204" spans="15:19" s="51" customFormat="1" x14ac:dyDescent="0.25">
      <c r="O204" s="45"/>
      <c r="P204" s="45"/>
      <c r="Q204" s="45"/>
      <c r="R204" s="45"/>
      <c r="S204" s="43"/>
    </row>
    <row r="205" spans="15:19" s="51" customFormat="1" x14ac:dyDescent="0.25">
      <c r="O205" s="45"/>
      <c r="P205" s="45"/>
      <c r="Q205" s="45"/>
      <c r="R205" s="45"/>
      <c r="S205" s="43"/>
    </row>
    <row r="206" spans="15:19" s="51" customFormat="1" x14ac:dyDescent="0.25">
      <c r="O206" s="45"/>
      <c r="P206" s="45"/>
      <c r="Q206" s="45"/>
      <c r="R206" s="45"/>
      <c r="S206" s="43"/>
    </row>
    <row r="207" spans="15:19" s="51" customFormat="1" x14ac:dyDescent="0.25">
      <c r="O207" s="45"/>
      <c r="P207" s="45"/>
      <c r="Q207" s="45"/>
      <c r="R207" s="45"/>
      <c r="S207" s="43"/>
    </row>
    <row r="208" spans="15:19" s="51" customFormat="1" x14ac:dyDescent="0.25">
      <c r="O208" s="45"/>
      <c r="P208" s="45"/>
      <c r="Q208" s="45"/>
      <c r="R208" s="45"/>
      <c r="S208" s="43"/>
    </row>
    <row r="209" spans="15:19" s="51" customFormat="1" x14ac:dyDescent="0.25">
      <c r="O209" s="45"/>
      <c r="P209" s="45"/>
      <c r="Q209" s="45"/>
      <c r="R209" s="45"/>
      <c r="S209" s="43"/>
    </row>
    <row r="210" spans="15:19" s="51" customFormat="1" x14ac:dyDescent="0.25">
      <c r="O210" s="45"/>
      <c r="P210" s="45"/>
      <c r="Q210" s="45"/>
      <c r="R210" s="45"/>
      <c r="S210" s="43"/>
    </row>
    <row r="211" spans="15:19" s="51" customFormat="1" x14ac:dyDescent="0.25">
      <c r="O211" s="45"/>
      <c r="P211" s="45"/>
      <c r="Q211" s="45"/>
      <c r="R211" s="45"/>
      <c r="S211" s="43"/>
    </row>
    <row r="212" spans="15:19" s="51" customFormat="1" x14ac:dyDescent="0.25">
      <c r="O212" s="45"/>
      <c r="P212" s="45"/>
      <c r="Q212" s="45"/>
      <c r="R212" s="45"/>
      <c r="S212" s="43"/>
    </row>
    <row r="213" spans="15:19" s="51" customFormat="1" x14ac:dyDescent="0.25">
      <c r="O213" s="45"/>
      <c r="P213" s="45"/>
      <c r="Q213" s="45"/>
      <c r="R213" s="45"/>
      <c r="S213" s="43"/>
    </row>
    <row r="214" spans="15:19" s="51" customFormat="1" x14ac:dyDescent="0.25">
      <c r="O214" s="45"/>
      <c r="P214" s="45"/>
      <c r="Q214" s="45"/>
      <c r="R214" s="45"/>
      <c r="S214" s="43"/>
    </row>
    <row r="215" spans="15:19" s="51" customFormat="1" x14ac:dyDescent="0.25">
      <c r="O215" s="45"/>
      <c r="P215" s="45"/>
      <c r="Q215" s="45"/>
      <c r="R215" s="45"/>
      <c r="S215" s="43"/>
    </row>
    <row r="216" spans="15:19" s="51" customFormat="1" x14ac:dyDescent="0.25">
      <c r="O216" s="45"/>
      <c r="P216" s="45"/>
      <c r="Q216" s="45"/>
      <c r="R216" s="45"/>
      <c r="S216" s="43"/>
    </row>
    <row r="217" spans="15:19" s="51" customFormat="1" x14ac:dyDescent="0.25">
      <c r="O217" s="45"/>
      <c r="P217" s="45"/>
      <c r="Q217" s="45"/>
      <c r="R217" s="45"/>
      <c r="S217" s="43"/>
    </row>
    <row r="218" spans="15:19" s="51" customFormat="1" x14ac:dyDescent="0.25">
      <c r="O218" s="45"/>
      <c r="P218" s="45"/>
      <c r="Q218" s="45"/>
      <c r="R218" s="45"/>
      <c r="S218" s="43"/>
    </row>
    <row r="219" spans="15:19" s="51" customFormat="1" x14ac:dyDescent="0.25">
      <c r="O219" s="45"/>
      <c r="P219" s="45"/>
      <c r="Q219" s="45"/>
      <c r="R219" s="45"/>
      <c r="S219" s="43"/>
    </row>
    <row r="220" spans="15:19" s="51" customFormat="1" x14ac:dyDescent="0.25">
      <c r="O220" s="45"/>
      <c r="P220" s="45"/>
      <c r="Q220" s="45"/>
      <c r="R220" s="45"/>
      <c r="S220" s="43"/>
    </row>
    <row r="221" spans="15:19" s="51" customFormat="1" x14ac:dyDescent="0.25">
      <c r="O221" s="45"/>
      <c r="P221" s="45"/>
      <c r="Q221" s="45"/>
      <c r="R221" s="45"/>
      <c r="S221" s="43"/>
    </row>
    <row r="222" spans="15:19" s="51" customFormat="1" x14ac:dyDescent="0.25">
      <c r="O222" s="45"/>
      <c r="P222" s="45"/>
      <c r="Q222" s="45"/>
      <c r="R222" s="45"/>
      <c r="S222" s="43"/>
    </row>
    <row r="223" spans="15:19" s="51" customFormat="1" x14ac:dyDescent="0.25">
      <c r="O223" s="45"/>
      <c r="P223" s="45"/>
      <c r="Q223" s="45"/>
      <c r="R223" s="45"/>
      <c r="S223" s="43"/>
    </row>
    <row r="224" spans="15:19" s="51" customFormat="1" x14ac:dyDescent="0.25">
      <c r="O224" s="45"/>
      <c r="P224" s="45"/>
      <c r="Q224" s="45"/>
      <c r="R224" s="45"/>
      <c r="S224" s="43"/>
    </row>
    <row r="225" spans="15:19" s="51" customFormat="1" x14ac:dyDescent="0.25">
      <c r="O225" s="45"/>
      <c r="P225" s="45"/>
      <c r="Q225" s="45"/>
      <c r="R225" s="45"/>
      <c r="S225" s="43"/>
    </row>
    <row r="226" spans="15:19" s="51" customFormat="1" x14ac:dyDescent="0.25">
      <c r="O226" s="45"/>
      <c r="P226" s="45"/>
      <c r="Q226" s="45"/>
      <c r="R226" s="45"/>
      <c r="S226" s="43"/>
    </row>
    <row r="227" spans="15:19" s="51" customFormat="1" x14ac:dyDescent="0.25">
      <c r="O227" s="45"/>
      <c r="P227" s="45"/>
      <c r="Q227" s="45"/>
      <c r="R227" s="45"/>
      <c r="S227" s="43"/>
    </row>
    <row r="228" spans="15:19" s="51" customFormat="1" x14ac:dyDescent="0.25">
      <c r="O228" s="45"/>
      <c r="P228" s="45"/>
      <c r="Q228" s="45"/>
      <c r="R228" s="45"/>
      <c r="S228" s="43"/>
    </row>
    <row r="229" spans="15:19" s="51" customFormat="1" x14ac:dyDescent="0.25">
      <c r="O229" s="45"/>
      <c r="P229" s="45"/>
      <c r="Q229" s="45"/>
      <c r="R229" s="45"/>
      <c r="S229" s="43"/>
    </row>
    <row r="230" spans="15:19" s="51" customFormat="1" x14ac:dyDescent="0.25">
      <c r="O230" s="45"/>
      <c r="P230" s="45"/>
      <c r="Q230" s="45"/>
      <c r="R230" s="45"/>
      <c r="S230" s="43"/>
    </row>
    <row r="231" spans="15:19" s="51" customFormat="1" x14ac:dyDescent="0.25">
      <c r="O231" s="45"/>
      <c r="P231" s="45"/>
      <c r="Q231" s="45"/>
      <c r="R231" s="45"/>
      <c r="S231" s="43"/>
    </row>
    <row r="232" spans="15:19" s="51" customFormat="1" x14ac:dyDescent="0.25">
      <c r="O232" s="45"/>
      <c r="P232" s="45"/>
      <c r="Q232" s="45"/>
      <c r="R232" s="45"/>
      <c r="S232" s="43"/>
    </row>
    <row r="233" spans="15:19" s="51" customFormat="1" x14ac:dyDescent="0.25">
      <c r="O233" s="45"/>
      <c r="P233" s="45"/>
      <c r="Q233" s="45"/>
      <c r="R233" s="45"/>
      <c r="S233" s="43"/>
    </row>
    <row r="234" spans="15:19" s="51" customFormat="1" x14ac:dyDescent="0.25">
      <c r="O234" s="45"/>
      <c r="P234" s="45"/>
      <c r="Q234" s="45"/>
      <c r="R234" s="45"/>
      <c r="S234" s="43"/>
    </row>
    <row r="235" spans="15:19" s="51" customFormat="1" x14ac:dyDescent="0.25">
      <c r="O235" s="45"/>
      <c r="P235" s="45"/>
      <c r="Q235" s="45"/>
      <c r="R235" s="45"/>
      <c r="S235" s="43"/>
    </row>
    <row r="236" spans="15:19" s="51" customFormat="1" x14ac:dyDescent="0.25">
      <c r="O236" s="45"/>
      <c r="P236" s="45"/>
      <c r="Q236" s="45"/>
      <c r="R236" s="45"/>
      <c r="S236" s="43"/>
    </row>
    <row r="237" spans="15:19" s="51" customFormat="1" x14ac:dyDescent="0.25">
      <c r="O237" s="45"/>
      <c r="P237" s="45"/>
      <c r="Q237" s="45"/>
      <c r="R237" s="45"/>
      <c r="S237" s="43"/>
    </row>
    <row r="238" spans="15:19" s="51" customFormat="1" x14ac:dyDescent="0.25">
      <c r="O238" s="45"/>
      <c r="P238" s="45"/>
      <c r="Q238" s="45"/>
      <c r="R238" s="45"/>
      <c r="S238" s="43"/>
    </row>
    <row r="239" spans="15:19" s="51" customFormat="1" x14ac:dyDescent="0.25">
      <c r="O239" s="45"/>
      <c r="P239" s="45"/>
      <c r="Q239" s="45"/>
      <c r="R239" s="45"/>
      <c r="S239" s="43"/>
    </row>
    <row r="240" spans="15:19" s="51" customFormat="1" x14ac:dyDescent="0.25">
      <c r="O240" s="45"/>
      <c r="P240" s="45"/>
      <c r="Q240" s="45"/>
      <c r="R240" s="45"/>
      <c r="S240" s="43"/>
    </row>
    <row r="241" spans="15:19" s="51" customFormat="1" x14ac:dyDescent="0.25">
      <c r="O241" s="45"/>
      <c r="P241" s="45"/>
      <c r="Q241" s="45"/>
      <c r="R241" s="45"/>
      <c r="S241" s="43"/>
    </row>
    <row r="242" spans="15:19" s="51" customFormat="1" x14ac:dyDescent="0.25">
      <c r="O242" s="45"/>
      <c r="P242" s="45"/>
      <c r="Q242" s="45"/>
      <c r="R242" s="45"/>
      <c r="S242" s="43"/>
    </row>
    <row r="243" spans="15:19" s="51" customFormat="1" x14ac:dyDescent="0.25">
      <c r="O243" s="45"/>
      <c r="P243" s="45"/>
      <c r="Q243" s="45"/>
      <c r="R243" s="45"/>
      <c r="S243" s="43"/>
    </row>
    <row r="244" spans="15:19" s="51" customFormat="1" x14ac:dyDescent="0.25">
      <c r="O244" s="45"/>
      <c r="P244" s="45"/>
      <c r="Q244" s="45"/>
      <c r="R244" s="45"/>
      <c r="S244" s="43"/>
    </row>
    <row r="245" spans="15:19" s="51" customFormat="1" x14ac:dyDescent="0.25">
      <c r="O245" s="45"/>
      <c r="P245" s="45"/>
      <c r="Q245" s="45"/>
      <c r="R245" s="45"/>
      <c r="S245" s="43"/>
    </row>
    <row r="246" spans="15:19" s="51" customFormat="1" x14ac:dyDescent="0.25">
      <c r="O246" s="45"/>
      <c r="P246" s="45"/>
      <c r="Q246" s="45"/>
      <c r="R246" s="45"/>
      <c r="S246" s="43"/>
    </row>
    <row r="247" spans="15:19" s="51" customFormat="1" x14ac:dyDescent="0.25">
      <c r="O247" s="45"/>
      <c r="P247" s="45"/>
      <c r="Q247" s="45"/>
      <c r="R247" s="45"/>
      <c r="S247" s="43"/>
    </row>
    <row r="248" spans="15:19" s="51" customFormat="1" x14ac:dyDescent="0.25">
      <c r="O248" s="45"/>
      <c r="P248" s="45"/>
      <c r="Q248" s="45"/>
      <c r="R248" s="45"/>
      <c r="S248" s="43"/>
    </row>
    <row r="249" spans="15:19" s="51" customFormat="1" x14ac:dyDescent="0.25">
      <c r="O249" s="45"/>
      <c r="P249" s="45"/>
      <c r="Q249" s="45"/>
      <c r="R249" s="45"/>
      <c r="S249" s="43"/>
    </row>
    <row r="250" spans="15:19" s="51" customFormat="1" x14ac:dyDescent="0.25">
      <c r="O250" s="45"/>
      <c r="P250" s="45"/>
      <c r="Q250" s="45"/>
      <c r="R250" s="45"/>
      <c r="S250" s="43"/>
    </row>
    <row r="251" spans="15:19" s="51" customFormat="1" x14ac:dyDescent="0.25">
      <c r="O251" s="45"/>
      <c r="P251" s="45"/>
      <c r="Q251" s="45"/>
      <c r="R251" s="45"/>
      <c r="S251" s="43"/>
    </row>
    <row r="252" spans="15:19" s="51" customFormat="1" x14ac:dyDescent="0.25">
      <c r="O252" s="45"/>
      <c r="P252" s="45"/>
      <c r="Q252" s="45"/>
      <c r="R252" s="45"/>
      <c r="S252" s="43"/>
    </row>
    <row r="253" spans="15:19" s="51" customFormat="1" x14ac:dyDescent="0.25">
      <c r="O253" s="45"/>
      <c r="P253" s="45"/>
      <c r="Q253" s="45"/>
      <c r="R253" s="45"/>
      <c r="S253" s="43"/>
    </row>
    <row r="254" spans="15:19" s="51" customFormat="1" x14ac:dyDescent="0.25">
      <c r="O254" s="45"/>
      <c r="P254" s="45"/>
      <c r="Q254" s="45"/>
      <c r="R254" s="45"/>
      <c r="S254" s="43"/>
    </row>
    <row r="255" spans="15:19" s="51" customFormat="1" x14ac:dyDescent="0.25">
      <c r="O255" s="45"/>
      <c r="P255" s="45"/>
      <c r="Q255" s="45"/>
      <c r="R255" s="45"/>
      <c r="S255" s="43"/>
    </row>
    <row r="256" spans="15:19" s="51" customFormat="1" x14ac:dyDescent="0.25">
      <c r="O256" s="45"/>
      <c r="P256" s="45"/>
      <c r="Q256" s="45"/>
      <c r="R256" s="45"/>
      <c r="S256" s="43"/>
    </row>
    <row r="257" spans="15:19" s="51" customFormat="1" x14ac:dyDescent="0.25">
      <c r="O257" s="45"/>
      <c r="P257" s="45"/>
      <c r="Q257" s="45"/>
      <c r="R257" s="45"/>
      <c r="S257" s="43"/>
    </row>
    <row r="258" spans="15:19" s="51" customFormat="1" x14ac:dyDescent="0.25">
      <c r="O258" s="45"/>
      <c r="P258" s="45"/>
      <c r="Q258" s="45"/>
      <c r="R258" s="45"/>
      <c r="S258" s="43"/>
    </row>
    <row r="259" spans="15:19" s="51" customFormat="1" x14ac:dyDescent="0.25">
      <c r="O259" s="45"/>
      <c r="P259" s="45"/>
      <c r="Q259" s="45"/>
      <c r="R259" s="45"/>
      <c r="S259" s="43"/>
    </row>
    <row r="260" spans="15:19" s="51" customFormat="1" x14ac:dyDescent="0.25">
      <c r="O260" s="45"/>
      <c r="P260" s="45"/>
      <c r="Q260" s="45"/>
      <c r="R260" s="45"/>
      <c r="S260" s="43"/>
    </row>
    <row r="261" spans="15:19" s="51" customFormat="1" x14ac:dyDescent="0.25">
      <c r="O261" s="45"/>
      <c r="P261" s="45"/>
      <c r="Q261" s="45"/>
      <c r="R261" s="45"/>
      <c r="S261" s="43"/>
    </row>
    <row r="262" spans="15:19" s="51" customFormat="1" x14ac:dyDescent="0.25">
      <c r="O262" s="45"/>
      <c r="P262" s="45"/>
      <c r="Q262" s="45"/>
      <c r="R262" s="45"/>
      <c r="S262" s="43"/>
    </row>
    <row r="263" spans="15:19" s="51" customFormat="1" x14ac:dyDescent="0.25">
      <c r="O263" s="45"/>
      <c r="P263" s="45"/>
      <c r="Q263" s="45"/>
      <c r="R263" s="45"/>
      <c r="S263" s="43"/>
    </row>
    <row r="264" spans="15:19" s="51" customFormat="1" x14ac:dyDescent="0.25">
      <c r="O264" s="45"/>
      <c r="P264" s="45"/>
      <c r="Q264" s="45"/>
      <c r="R264" s="45"/>
      <c r="S264" s="43"/>
    </row>
    <row r="265" spans="15:19" s="51" customFormat="1" x14ac:dyDescent="0.25">
      <c r="O265" s="45"/>
      <c r="P265" s="45"/>
      <c r="Q265" s="45"/>
      <c r="R265" s="45"/>
      <c r="S265" s="43"/>
    </row>
    <row r="266" spans="15:19" s="51" customFormat="1" x14ac:dyDescent="0.25">
      <c r="O266" s="45"/>
      <c r="P266" s="45"/>
      <c r="Q266" s="45"/>
      <c r="R266" s="45"/>
      <c r="S266" s="43"/>
    </row>
    <row r="267" spans="15:19" s="51" customFormat="1" x14ac:dyDescent="0.25">
      <c r="O267" s="45"/>
      <c r="P267" s="45"/>
      <c r="Q267" s="45"/>
      <c r="R267" s="45"/>
      <c r="S267" s="43"/>
    </row>
    <row r="268" spans="15:19" s="51" customFormat="1" x14ac:dyDescent="0.25">
      <c r="O268" s="45"/>
      <c r="P268" s="45"/>
      <c r="Q268" s="45"/>
      <c r="R268" s="45"/>
      <c r="S268" s="43"/>
    </row>
    <row r="269" spans="15:19" s="51" customFormat="1" x14ac:dyDescent="0.25">
      <c r="O269" s="45"/>
      <c r="P269" s="45"/>
      <c r="Q269" s="45"/>
      <c r="R269" s="45"/>
      <c r="S269" s="43"/>
    </row>
    <row r="270" spans="15:19" s="51" customFormat="1" x14ac:dyDescent="0.25">
      <c r="O270" s="45"/>
      <c r="P270" s="45"/>
      <c r="Q270" s="45"/>
      <c r="R270" s="45"/>
      <c r="S270" s="43"/>
    </row>
    <row r="271" spans="15:19" s="51" customFormat="1" x14ac:dyDescent="0.25">
      <c r="O271" s="45"/>
      <c r="P271" s="45"/>
      <c r="Q271" s="45"/>
      <c r="R271" s="45"/>
      <c r="S271" s="43"/>
    </row>
    <row r="272" spans="15:19" s="51" customFormat="1" x14ac:dyDescent="0.25">
      <c r="O272" s="45"/>
      <c r="P272" s="45"/>
      <c r="Q272" s="45"/>
      <c r="R272" s="45"/>
      <c r="S272" s="43"/>
    </row>
    <row r="273" spans="15:19" s="51" customFormat="1" x14ac:dyDescent="0.25">
      <c r="O273" s="45"/>
      <c r="P273" s="45"/>
      <c r="Q273" s="45"/>
      <c r="R273" s="45"/>
      <c r="S273" s="43"/>
    </row>
    <row r="274" spans="15:19" s="51" customFormat="1" x14ac:dyDescent="0.25">
      <c r="O274" s="45"/>
      <c r="P274" s="45"/>
      <c r="Q274" s="45"/>
      <c r="R274" s="45"/>
      <c r="S274" s="43"/>
    </row>
    <row r="275" spans="15:19" s="51" customFormat="1" x14ac:dyDescent="0.25">
      <c r="O275" s="45"/>
      <c r="P275" s="45"/>
      <c r="Q275" s="45"/>
      <c r="R275" s="45"/>
      <c r="S275" s="43"/>
    </row>
    <row r="276" spans="15:19" s="51" customFormat="1" x14ac:dyDescent="0.25">
      <c r="O276" s="45"/>
      <c r="P276" s="45"/>
      <c r="Q276" s="45"/>
      <c r="R276" s="45"/>
      <c r="S276" s="43"/>
    </row>
    <row r="277" spans="15:19" s="51" customFormat="1" x14ac:dyDescent="0.25">
      <c r="O277" s="45"/>
      <c r="P277" s="45"/>
      <c r="Q277" s="45"/>
      <c r="R277" s="45"/>
      <c r="S277" s="43"/>
    </row>
    <row r="278" spans="15:19" s="51" customFormat="1" x14ac:dyDescent="0.25">
      <c r="O278" s="45"/>
      <c r="P278" s="45"/>
      <c r="Q278" s="45"/>
      <c r="R278" s="45"/>
      <c r="S278" s="43"/>
    </row>
    <row r="279" spans="15:19" s="51" customFormat="1" x14ac:dyDescent="0.25">
      <c r="O279" s="45"/>
      <c r="P279" s="45"/>
      <c r="Q279" s="45"/>
      <c r="R279" s="45"/>
      <c r="S279" s="43"/>
    </row>
    <row r="280" spans="15:19" s="51" customFormat="1" x14ac:dyDescent="0.25">
      <c r="O280" s="45"/>
      <c r="P280" s="45"/>
      <c r="Q280" s="45"/>
      <c r="R280" s="45"/>
      <c r="S280" s="43"/>
    </row>
    <row r="281" spans="15:19" s="51" customFormat="1" x14ac:dyDescent="0.25">
      <c r="O281" s="45"/>
      <c r="P281" s="45"/>
      <c r="Q281" s="45"/>
      <c r="R281" s="45"/>
      <c r="S281" s="43"/>
    </row>
    <row r="282" spans="15:19" s="51" customFormat="1" x14ac:dyDescent="0.25">
      <c r="O282" s="45"/>
      <c r="P282" s="45"/>
      <c r="Q282" s="45"/>
      <c r="R282" s="45"/>
      <c r="S282" s="43"/>
    </row>
    <row r="283" spans="15:19" s="51" customFormat="1" x14ac:dyDescent="0.25">
      <c r="O283" s="45"/>
      <c r="P283" s="45"/>
      <c r="Q283" s="45"/>
      <c r="R283" s="45"/>
      <c r="S283" s="43"/>
    </row>
    <row r="284" spans="15:19" s="51" customFormat="1" x14ac:dyDescent="0.25">
      <c r="O284" s="45"/>
      <c r="P284" s="45"/>
      <c r="Q284" s="45"/>
      <c r="R284" s="45"/>
      <c r="S284" s="43"/>
    </row>
    <row r="285" spans="15:19" s="51" customFormat="1" x14ac:dyDescent="0.25">
      <c r="O285" s="45"/>
      <c r="P285" s="45"/>
      <c r="Q285" s="45"/>
      <c r="R285" s="45"/>
      <c r="S285" s="43"/>
    </row>
    <row r="286" spans="15:19" s="51" customFormat="1" x14ac:dyDescent="0.25">
      <c r="O286" s="45"/>
      <c r="P286" s="45"/>
      <c r="Q286" s="45"/>
      <c r="R286" s="45"/>
      <c r="S286" s="43"/>
    </row>
    <row r="287" spans="15:19" s="51" customFormat="1" x14ac:dyDescent="0.25">
      <c r="O287" s="45"/>
      <c r="P287" s="45"/>
      <c r="Q287" s="45"/>
      <c r="R287" s="45"/>
      <c r="S287" s="43"/>
    </row>
    <row r="288" spans="15:19" s="51" customFormat="1" x14ac:dyDescent="0.25">
      <c r="O288" s="45"/>
      <c r="P288" s="45"/>
      <c r="Q288" s="45"/>
      <c r="R288" s="45"/>
      <c r="S288" s="43"/>
    </row>
    <row r="289" spans="15:19" s="51" customFormat="1" x14ac:dyDescent="0.25">
      <c r="O289" s="45"/>
      <c r="P289" s="45"/>
      <c r="Q289" s="45"/>
      <c r="R289" s="45"/>
      <c r="S289" s="43"/>
    </row>
    <row r="290" spans="15:19" s="51" customFormat="1" x14ac:dyDescent="0.25">
      <c r="O290" s="45"/>
      <c r="P290" s="45"/>
      <c r="Q290" s="45"/>
      <c r="R290" s="45"/>
      <c r="S290" s="43"/>
    </row>
    <row r="291" spans="15:19" s="51" customFormat="1" x14ac:dyDescent="0.25">
      <c r="O291" s="45"/>
      <c r="P291" s="45"/>
      <c r="Q291" s="45"/>
      <c r="R291" s="45"/>
      <c r="S291" s="43"/>
    </row>
    <row r="292" spans="15:19" s="51" customFormat="1" x14ac:dyDescent="0.25">
      <c r="O292" s="45"/>
      <c r="P292" s="45"/>
      <c r="Q292" s="45"/>
      <c r="R292" s="45"/>
      <c r="S292" s="43"/>
    </row>
    <row r="293" spans="15:19" s="51" customFormat="1" x14ac:dyDescent="0.25">
      <c r="O293" s="45"/>
      <c r="P293" s="45"/>
      <c r="Q293" s="45"/>
      <c r="R293" s="45"/>
      <c r="S293" s="43"/>
    </row>
    <row r="294" spans="15:19" s="51" customFormat="1" x14ac:dyDescent="0.25">
      <c r="O294" s="45"/>
      <c r="P294" s="45"/>
      <c r="Q294" s="45"/>
      <c r="R294" s="45"/>
      <c r="S294" s="43"/>
    </row>
    <row r="295" spans="15:19" s="51" customFormat="1" x14ac:dyDescent="0.25">
      <c r="O295" s="45"/>
      <c r="P295" s="45"/>
      <c r="Q295" s="45"/>
      <c r="R295" s="45"/>
      <c r="S295" s="43"/>
    </row>
    <row r="296" spans="15:19" s="51" customFormat="1" x14ac:dyDescent="0.25">
      <c r="O296" s="45"/>
      <c r="P296" s="45"/>
      <c r="Q296" s="45"/>
      <c r="R296" s="45"/>
      <c r="S296" s="43"/>
    </row>
    <row r="297" spans="15:19" s="51" customFormat="1" x14ac:dyDescent="0.25">
      <c r="O297" s="45"/>
      <c r="P297" s="45"/>
      <c r="Q297" s="45"/>
      <c r="R297" s="45"/>
      <c r="S297" s="43"/>
    </row>
    <row r="298" spans="15:19" s="51" customFormat="1" x14ac:dyDescent="0.25">
      <c r="O298" s="45"/>
      <c r="P298" s="45"/>
      <c r="Q298" s="45"/>
      <c r="R298" s="45"/>
      <c r="S298" s="43"/>
    </row>
    <row r="299" spans="15:19" s="51" customFormat="1" x14ac:dyDescent="0.25">
      <c r="O299" s="45"/>
      <c r="P299" s="45"/>
      <c r="Q299" s="45"/>
      <c r="R299" s="45"/>
      <c r="S299" s="43"/>
    </row>
    <row r="300" spans="15:19" s="51" customFormat="1" x14ac:dyDescent="0.25">
      <c r="O300" s="45"/>
      <c r="P300" s="45"/>
      <c r="Q300" s="45"/>
      <c r="R300" s="45"/>
      <c r="S300" s="43"/>
    </row>
    <row r="301" spans="15:19" s="51" customFormat="1" x14ac:dyDescent="0.25">
      <c r="O301" s="45"/>
      <c r="P301" s="45"/>
      <c r="Q301" s="45"/>
      <c r="R301" s="45"/>
      <c r="S301" s="43"/>
    </row>
    <row r="302" spans="15:19" s="51" customFormat="1" x14ac:dyDescent="0.25">
      <c r="O302" s="45"/>
      <c r="P302" s="45"/>
      <c r="Q302" s="45"/>
      <c r="R302" s="45"/>
      <c r="S302" s="43"/>
    </row>
    <row r="303" spans="15:19" s="51" customFormat="1" x14ac:dyDescent="0.25">
      <c r="O303" s="45"/>
      <c r="P303" s="45"/>
      <c r="Q303" s="45"/>
      <c r="R303" s="45"/>
      <c r="S303" s="43"/>
    </row>
    <row r="304" spans="15:19" s="51" customFormat="1" x14ac:dyDescent="0.25">
      <c r="O304" s="45"/>
      <c r="P304" s="45"/>
      <c r="Q304" s="45"/>
      <c r="R304" s="45"/>
      <c r="S304" s="43"/>
    </row>
    <row r="305" spans="15:19" s="51" customFormat="1" x14ac:dyDescent="0.25">
      <c r="O305" s="45"/>
      <c r="P305" s="45"/>
      <c r="Q305" s="45"/>
      <c r="R305" s="45"/>
      <c r="S305" s="43"/>
    </row>
    <row r="306" spans="15:19" s="51" customFormat="1" x14ac:dyDescent="0.25">
      <c r="O306" s="45"/>
      <c r="P306" s="45"/>
      <c r="Q306" s="45"/>
      <c r="R306" s="45"/>
      <c r="S306" s="43"/>
    </row>
    <row r="307" spans="15:19" s="51" customFormat="1" x14ac:dyDescent="0.25">
      <c r="O307" s="45"/>
      <c r="P307" s="45"/>
      <c r="Q307" s="45"/>
      <c r="R307" s="45"/>
      <c r="S307" s="43"/>
    </row>
    <row r="308" spans="15:19" s="51" customFormat="1" x14ac:dyDescent="0.25">
      <c r="O308" s="45"/>
      <c r="P308" s="45"/>
      <c r="Q308" s="45"/>
      <c r="R308" s="45"/>
      <c r="S308" s="43"/>
    </row>
    <row r="309" spans="15:19" s="51" customFormat="1" x14ac:dyDescent="0.25">
      <c r="O309" s="45"/>
      <c r="P309" s="45"/>
      <c r="Q309" s="45"/>
      <c r="R309" s="45"/>
      <c r="S309" s="43"/>
    </row>
    <row r="310" spans="15:19" s="51" customFormat="1" x14ac:dyDescent="0.25">
      <c r="O310" s="45"/>
      <c r="P310" s="45"/>
      <c r="Q310" s="45"/>
      <c r="R310" s="45"/>
      <c r="S310" s="43"/>
    </row>
    <row r="311" spans="15:19" s="51" customFormat="1" x14ac:dyDescent="0.25">
      <c r="O311" s="45"/>
      <c r="P311" s="45"/>
      <c r="Q311" s="45"/>
      <c r="R311" s="45"/>
      <c r="S311" s="43"/>
    </row>
    <row r="312" spans="15:19" s="51" customFormat="1" x14ac:dyDescent="0.25">
      <c r="O312" s="45"/>
      <c r="P312" s="45"/>
      <c r="Q312" s="45"/>
      <c r="R312" s="45"/>
      <c r="S312" s="43"/>
    </row>
    <row r="313" spans="15:19" s="51" customFormat="1" x14ac:dyDescent="0.25">
      <c r="O313" s="45"/>
      <c r="P313" s="45"/>
      <c r="Q313" s="45"/>
      <c r="R313" s="45"/>
      <c r="S313" s="43"/>
    </row>
    <row r="314" spans="15:19" s="51" customFormat="1" x14ac:dyDescent="0.25">
      <c r="O314" s="45"/>
      <c r="P314" s="45"/>
      <c r="Q314" s="45"/>
      <c r="R314" s="45"/>
      <c r="S314" s="43"/>
    </row>
    <row r="315" spans="15:19" s="51" customFormat="1" x14ac:dyDescent="0.25">
      <c r="O315" s="45"/>
      <c r="P315" s="45"/>
      <c r="Q315" s="45"/>
      <c r="R315" s="45"/>
      <c r="S315" s="43"/>
    </row>
    <row r="316" spans="15:19" s="51" customFormat="1" x14ac:dyDescent="0.25">
      <c r="O316" s="45"/>
      <c r="P316" s="45"/>
      <c r="Q316" s="45"/>
      <c r="R316" s="45"/>
      <c r="S316" s="43"/>
    </row>
    <row r="317" spans="15:19" s="51" customFormat="1" x14ac:dyDescent="0.25">
      <c r="O317" s="45"/>
      <c r="P317" s="45"/>
      <c r="Q317" s="45"/>
      <c r="R317" s="45"/>
      <c r="S317" s="43"/>
    </row>
    <row r="318" spans="15:19" s="51" customFormat="1" x14ac:dyDescent="0.25">
      <c r="O318" s="45"/>
      <c r="P318" s="45"/>
      <c r="Q318" s="45"/>
      <c r="R318" s="45"/>
      <c r="S318" s="43"/>
    </row>
    <row r="319" spans="15:19" s="51" customFormat="1" x14ac:dyDescent="0.25">
      <c r="O319" s="45"/>
      <c r="P319" s="45"/>
      <c r="Q319" s="45"/>
      <c r="R319" s="45"/>
      <c r="S319" s="43"/>
    </row>
    <row r="320" spans="15:19" s="51" customFormat="1" x14ac:dyDescent="0.25">
      <c r="O320" s="45"/>
      <c r="P320" s="45"/>
      <c r="Q320" s="45"/>
      <c r="R320" s="45"/>
      <c r="S320" s="43"/>
    </row>
    <row r="321" spans="15:19" s="51" customFormat="1" x14ac:dyDescent="0.25">
      <c r="O321" s="45"/>
      <c r="P321" s="45"/>
      <c r="Q321" s="45"/>
      <c r="R321" s="45"/>
      <c r="S321" s="43"/>
    </row>
    <row r="322" spans="15:19" s="51" customFormat="1" x14ac:dyDescent="0.25">
      <c r="O322" s="45"/>
      <c r="P322" s="45"/>
      <c r="Q322" s="45"/>
      <c r="R322" s="45"/>
      <c r="S322" s="43"/>
    </row>
    <row r="323" spans="15:19" s="51" customFormat="1" x14ac:dyDescent="0.25">
      <c r="O323" s="45"/>
      <c r="P323" s="45"/>
      <c r="Q323" s="45"/>
      <c r="R323" s="45"/>
      <c r="S323" s="43"/>
    </row>
    <row r="324" spans="15:19" s="51" customFormat="1" x14ac:dyDescent="0.25">
      <c r="O324" s="45"/>
      <c r="P324" s="45"/>
      <c r="Q324" s="45"/>
      <c r="R324" s="45"/>
      <c r="S324" s="43"/>
    </row>
    <row r="325" spans="15:19" s="51" customFormat="1" x14ac:dyDescent="0.25">
      <c r="O325" s="45"/>
      <c r="P325" s="45"/>
      <c r="Q325" s="45"/>
      <c r="R325" s="45"/>
      <c r="S325" s="43"/>
    </row>
    <row r="326" spans="15:19" s="51" customFormat="1" x14ac:dyDescent="0.25">
      <c r="O326" s="45"/>
      <c r="P326" s="45"/>
      <c r="Q326" s="45"/>
      <c r="R326" s="45"/>
      <c r="S326" s="43"/>
    </row>
    <row r="327" spans="15:19" s="51" customFormat="1" x14ac:dyDescent="0.25">
      <c r="O327" s="45"/>
      <c r="P327" s="45"/>
      <c r="Q327" s="45"/>
      <c r="R327" s="45"/>
      <c r="S327" s="43"/>
    </row>
    <row r="328" spans="15:19" s="51" customFormat="1" x14ac:dyDescent="0.25">
      <c r="O328" s="45"/>
      <c r="P328" s="45"/>
      <c r="Q328" s="45"/>
      <c r="R328" s="45"/>
      <c r="S328" s="43"/>
    </row>
    <row r="329" spans="15:19" s="51" customFormat="1" x14ac:dyDescent="0.25">
      <c r="O329" s="45"/>
      <c r="P329" s="45"/>
      <c r="Q329" s="45"/>
      <c r="R329" s="45"/>
      <c r="S329" s="43"/>
    </row>
    <row r="330" spans="15:19" s="51" customFormat="1" x14ac:dyDescent="0.25">
      <c r="O330" s="45"/>
      <c r="P330" s="45"/>
      <c r="Q330" s="45"/>
      <c r="R330" s="45"/>
      <c r="S330" s="43"/>
    </row>
    <row r="331" spans="15:19" s="51" customFormat="1" x14ac:dyDescent="0.25">
      <c r="O331" s="45"/>
      <c r="P331" s="45"/>
      <c r="Q331" s="45"/>
      <c r="R331" s="45"/>
      <c r="S331" s="43"/>
    </row>
    <row r="332" spans="15:19" s="51" customFormat="1" x14ac:dyDescent="0.25">
      <c r="O332" s="45"/>
      <c r="P332" s="45"/>
      <c r="Q332" s="45"/>
      <c r="R332" s="45"/>
      <c r="S332" s="43"/>
    </row>
    <row r="333" spans="15:19" s="51" customFormat="1" x14ac:dyDescent="0.25">
      <c r="O333" s="45"/>
      <c r="P333" s="45"/>
      <c r="Q333" s="45"/>
      <c r="R333" s="45"/>
      <c r="S333" s="43"/>
    </row>
    <row r="334" spans="15:19" s="51" customFormat="1" x14ac:dyDescent="0.25">
      <c r="O334" s="45"/>
      <c r="P334" s="45"/>
      <c r="Q334" s="45"/>
      <c r="R334" s="45"/>
      <c r="S334" s="43"/>
    </row>
    <row r="335" spans="15:19" s="51" customFormat="1" x14ac:dyDescent="0.25">
      <c r="O335" s="45"/>
      <c r="P335" s="45"/>
      <c r="Q335" s="45"/>
      <c r="R335" s="45"/>
      <c r="S335" s="43"/>
    </row>
    <row r="336" spans="15:19" s="51" customFormat="1" x14ac:dyDescent="0.25">
      <c r="O336" s="45"/>
      <c r="P336" s="45"/>
      <c r="Q336" s="45"/>
      <c r="R336" s="45"/>
      <c r="S336" s="43"/>
    </row>
    <row r="337" spans="15:19" s="51" customFormat="1" x14ac:dyDescent="0.25">
      <c r="O337" s="45"/>
      <c r="P337" s="45"/>
      <c r="Q337" s="45"/>
      <c r="R337" s="45"/>
      <c r="S337" s="43"/>
    </row>
    <row r="338" spans="15:19" s="51" customFormat="1" x14ac:dyDescent="0.25">
      <c r="O338" s="45"/>
      <c r="P338" s="45"/>
      <c r="Q338" s="45"/>
      <c r="R338" s="45"/>
      <c r="S338" s="43"/>
    </row>
    <row r="339" spans="15:19" s="51" customFormat="1" x14ac:dyDescent="0.25">
      <c r="O339" s="45"/>
      <c r="P339" s="45"/>
      <c r="Q339" s="45"/>
      <c r="R339" s="45"/>
      <c r="S339" s="43"/>
    </row>
    <row r="340" spans="15:19" s="51" customFormat="1" x14ac:dyDescent="0.25">
      <c r="O340" s="45"/>
      <c r="P340" s="45"/>
      <c r="Q340" s="45"/>
      <c r="R340" s="45"/>
      <c r="S340" s="43"/>
    </row>
    <row r="341" spans="15:19" s="51" customFormat="1" x14ac:dyDescent="0.25">
      <c r="O341" s="45"/>
      <c r="P341" s="45"/>
      <c r="Q341" s="45"/>
      <c r="R341" s="45"/>
      <c r="S341" s="43"/>
    </row>
    <row r="342" spans="15:19" s="51" customFormat="1" x14ac:dyDescent="0.25">
      <c r="O342" s="45"/>
      <c r="P342" s="45"/>
      <c r="Q342" s="45"/>
      <c r="R342" s="45"/>
      <c r="S342" s="43"/>
    </row>
    <row r="343" spans="15:19" s="51" customFormat="1" x14ac:dyDescent="0.25">
      <c r="O343" s="45"/>
      <c r="P343" s="45"/>
      <c r="Q343" s="45"/>
      <c r="R343" s="45"/>
      <c r="S343" s="43"/>
    </row>
    <row r="344" spans="15:19" s="51" customFormat="1" x14ac:dyDescent="0.25">
      <c r="O344" s="45"/>
      <c r="P344" s="45"/>
      <c r="Q344" s="45"/>
      <c r="R344" s="45"/>
      <c r="S344" s="43"/>
    </row>
    <row r="345" spans="15:19" s="51" customFormat="1" x14ac:dyDescent="0.25">
      <c r="O345" s="45"/>
      <c r="P345" s="45"/>
      <c r="Q345" s="45"/>
      <c r="R345" s="45"/>
      <c r="S345" s="43"/>
    </row>
    <row r="346" spans="15:19" s="51" customFormat="1" x14ac:dyDescent="0.25">
      <c r="O346" s="45"/>
      <c r="P346" s="45"/>
      <c r="Q346" s="45"/>
      <c r="R346" s="45"/>
      <c r="S346" s="43"/>
    </row>
    <row r="347" spans="15:19" s="51" customFormat="1" x14ac:dyDescent="0.25">
      <c r="O347" s="45"/>
      <c r="P347" s="45"/>
      <c r="Q347" s="45"/>
      <c r="R347" s="45"/>
      <c r="S347" s="43"/>
    </row>
    <row r="348" spans="15:19" s="51" customFormat="1" x14ac:dyDescent="0.25">
      <c r="O348" s="45"/>
      <c r="P348" s="45"/>
      <c r="Q348" s="45"/>
      <c r="R348" s="45"/>
      <c r="S348" s="43"/>
    </row>
    <row r="349" spans="15:19" s="51" customFormat="1" x14ac:dyDescent="0.25">
      <c r="O349" s="45"/>
      <c r="P349" s="45"/>
      <c r="Q349" s="45"/>
      <c r="R349" s="45"/>
      <c r="S349" s="43"/>
    </row>
    <row r="350" spans="15:19" s="51" customFormat="1" x14ac:dyDescent="0.25">
      <c r="O350" s="45"/>
      <c r="P350" s="45"/>
      <c r="Q350" s="45"/>
      <c r="R350" s="45"/>
      <c r="S350" s="43"/>
    </row>
    <row r="351" spans="15:19" s="51" customFormat="1" x14ac:dyDescent="0.25">
      <c r="O351" s="45"/>
      <c r="P351" s="45"/>
      <c r="Q351" s="45"/>
      <c r="R351" s="45"/>
      <c r="S351" s="43"/>
    </row>
    <row r="352" spans="15:19" s="51" customFormat="1" x14ac:dyDescent="0.25">
      <c r="O352" s="45"/>
      <c r="P352" s="45"/>
      <c r="Q352" s="45"/>
      <c r="R352" s="45"/>
      <c r="S352" s="43"/>
    </row>
    <row r="353" spans="15:19" s="51" customFormat="1" x14ac:dyDescent="0.25">
      <c r="O353" s="45"/>
      <c r="P353" s="45"/>
      <c r="Q353" s="45"/>
      <c r="R353" s="45"/>
      <c r="S353" s="43"/>
    </row>
    <row r="354" spans="15:19" s="51" customFormat="1" x14ac:dyDescent="0.25">
      <c r="O354" s="45"/>
      <c r="P354" s="45"/>
      <c r="Q354" s="45"/>
      <c r="R354" s="45"/>
      <c r="S354" s="43"/>
    </row>
    <row r="355" spans="15:19" s="51" customFormat="1" x14ac:dyDescent="0.25">
      <c r="O355" s="45"/>
      <c r="P355" s="45"/>
      <c r="Q355" s="45"/>
      <c r="R355" s="45"/>
      <c r="S355" s="43"/>
    </row>
    <row r="356" spans="15:19" s="51" customFormat="1" x14ac:dyDescent="0.25">
      <c r="O356" s="45"/>
      <c r="P356" s="45"/>
      <c r="Q356" s="45"/>
      <c r="R356" s="45"/>
      <c r="S356" s="43"/>
    </row>
    <row r="357" spans="15:19" s="51" customFormat="1" x14ac:dyDescent="0.25">
      <c r="O357" s="45"/>
      <c r="P357" s="45"/>
      <c r="Q357" s="45"/>
      <c r="R357" s="45"/>
      <c r="S357" s="43"/>
    </row>
    <row r="358" spans="15:19" s="51" customFormat="1" x14ac:dyDescent="0.25">
      <c r="O358" s="45"/>
      <c r="P358" s="45"/>
      <c r="Q358" s="45"/>
      <c r="R358" s="45"/>
      <c r="S358" s="43"/>
    </row>
    <row r="359" spans="15:19" s="51" customFormat="1" x14ac:dyDescent="0.25">
      <c r="O359" s="45"/>
      <c r="P359" s="45"/>
      <c r="Q359" s="45"/>
      <c r="R359" s="45"/>
      <c r="S359" s="43"/>
    </row>
    <row r="360" spans="15:19" s="51" customFormat="1" x14ac:dyDescent="0.25">
      <c r="O360" s="45"/>
      <c r="P360" s="45"/>
      <c r="Q360" s="45"/>
      <c r="R360" s="45"/>
      <c r="S360" s="43"/>
    </row>
    <row r="361" spans="15:19" s="51" customFormat="1" x14ac:dyDescent="0.25">
      <c r="O361" s="45"/>
      <c r="P361" s="45"/>
      <c r="Q361" s="45"/>
      <c r="R361" s="45"/>
      <c r="S361" s="43"/>
    </row>
    <row r="362" spans="15:19" s="51" customFormat="1" x14ac:dyDescent="0.25">
      <c r="O362" s="45"/>
      <c r="P362" s="45"/>
      <c r="Q362" s="45"/>
      <c r="R362" s="45"/>
      <c r="S362" s="43"/>
    </row>
    <row r="363" spans="15:19" s="51" customFormat="1" x14ac:dyDescent="0.25">
      <c r="O363" s="45"/>
      <c r="P363" s="45"/>
      <c r="Q363" s="45"/>
      <c r="R363" s="45"/>
      <c r="S363" s="43"/>
    </row>
    <row r="364" spans="15:19" s="51" customFormat="1" x14ac:dyDescent="0.25">
      <c r="O364" s="45"/>
      <c r="P364" s="45"/>
      <c r="Q364" s="45"/>
      <c r="R364" s="45"/>
      <c r="S364" s="43"/>
    </row>
    <row r="365" spans="15:19" s="51" customFormat="1" x14ac:dyDescent="0.25">
      <c r="O365" s="45"/>
      <c r="P365" s="45"/>
      <c r="Q365" s="45"/>
      <c r="R365" s="45"/>
      <c r="S365" s="43"/>
    </row>
    <row r="366" spans="15:19" s="51" customFormat="1" x14ac:dyDescent="0.25">
      <c r="O366" s="45"/>
      <c r="P366" s="45"/>
      <c r="Q366" s="45"/>
      <c r="R366" s="45"/>
      <c r="S366" s="43"/>
    </row>
    <row r="367" spans="15:19" s="51" customFormat="1" x14ac:dyDescent="0.25">
      <c r="O367" s="45"/>
      <c r="P367" s="45"/>
      <c r="Q367" s="45"/>
      <c r="R367" s="45"/>
      <c r="S367" s="43"/>
    </row>
    <row r="368" spans="15:19" s="51" customFormat="1" x14ac:dyDescent="0.25">
      <c r="O368" s="45"/>
      <c r="P368" s="45"/>
      <c r="Q368" s="45"/>
      <c r="R368" s="45"/>
      <c r="S368" s="43"/>
    </row>
    <row r="369" spans="15:19" s="51" customFormat="1" x14ac:dyDescent="0.25">
      <c r="O369" s="45"/>
      <c r="P369" s="45"/>
      <c r="Q369" s="45"/>
      <c r="R369" s="45"/>
      <c r="S369" s="43"/>
    </row>
    <row r="370" spans="15:19" s="51" customFormat="1" x14ac:dyDescent="0.25">
      <c r="O370" s="45"/>
      <c r="P370" s="45"/>
      <c r="Q370" s="45"/>
      <c r="R370" s="45"/>
      <c r="S370" s="43"/>
    </row>
    <row r="371" spans="15:19" s="51" customFormat="1" x14ac:dyDescent="0.25">
      <c r="O371" s="45"/>
      <c r="P371" s="45"/>
      <c r="Q371" s="45"/>
      <c r="R371" s="45"/>
      <c r="S371" s="43"/>
    </row>
    <row r="372" spans="15:19" s="51" customFormat="1" x14ac:dyDescent="0.25">
      <c r="O372" s="45"/>
      <c r="P372" s="45"/>
      <c r="Q372" s="45"/>
      <c r="R372" s="45"/>
      <c r="S372" s="43"/>
    </row>
    <row r="373" spans="15:19" s="51" customFormat="1" x14ac:dyDescent="0.25">
      <c r="O373" s="45"/>
      <c r="P373" s="45"/>
      <c r="Q373" s="45"/>
      <c r="R373" s="45"/>
      <c r="S373" s="43"/>
    </row>
    <row r="374" spans="15:19" s="51" customFormat="1" x14ac:dyDescent="0.25">
      <c r="O374" s="45"/>
      <c r="P374" s="45"/>
      <c r="Q374" s="45"/>
      <c r="R374" s="45"/>
      <c r="S374" s="43"/>
    </row>
    <row r="375" spans="15:19" s="51" customFormat="1" x14ac:dyDescent="0.25">
      <c r="O375" s="45"/>
      <c r="P375" s="45"/>
      <c r="Q375" s="45"/>
      <c r="R375" s="45"/>
      <c r="S375" s="43"/>
    </row>
    <row r="376" spans="15:19" s="51" customFormat="1" x14ac:dyDescent="0.25">
      <c r="O376" s="45"/>
      <c r="P376" s="45"/>
      <c r="Q376" s="45"/>
      <c r="R376" s="45"/>
      <c r="S376" s="43"/>
    </row>
    <row r="377" spans="15:19" s="51" customFormat="1" x14ac:dyDescent="0.25">
      <c r="O377" s="45"/>
      <c r="P377" s="45"/>
      <c r="Q377" s="45"/>
      <c r="R377" s="45"/>
      <c r="S377" s="43"/>
    </row>
    <row r="378" spans="15:19" s="51" customFormat="1" x14ac:dyDescent="0.25">
      <c r="O378" s="45"/>
      <c r="P378" s="45"/>
      <c r="Q378" s="45"/>
      <c r="R378" s="45"/>
      <c r="S378" s="43"/>
    </row>
    <row r="379" spans="15:19" s="51" customFormat="1" x14ac:dyDescent="0.25">
      <c r="O379" s="45"/>
      <c r="P379" s="45"/>
      <c r="Q379" s="45"/>
      <c r="R379" s="45"/>
      <c r="S379" s="43"/>
    </row>
    <row r="380" spans="15:19" s="51" customFormat="1" x14ac:dyDescent="0.25">
      <c r="O380" s="45"/>
      <c r="P380" s="45"/>
      <c r="Q380" s="45"/>
      <c r="R380" s="45"/>
      <c r="S380" s="43"/>
    </row>
    <row r="381" spans="15:19" s="51" customFormat="1" x14ac:dyDescent="0.25">
      <c r="O381" s="45"/>
      <c r="P381" s="45"/>
      <c r="Q381" s="45"/>
      <c r="R381" s="45"/>
      <c r="S381" s="43"/>
    </row>
    <row r="382" spans="15:19" s="51" customFormat="1" x14ac:dyDescent="0.25">
      <c r="O382" s="45"/>
      <c r="P382" s="45"/>
      <c r="Q382" s="45"/>
      <c r="R382" s="45"/>
      <c r="S382" s="43"/>
    </row>
    <row r="383" spans="15:19" s="51" customFormat="1" x14ac:dyDescent="0.25">
      <c r="O383" s="45"/>
      <c r="P383" s="45"/>
      <c r="Q383" s="45"/>
      <c r="R383" s="45"/>
      <c r="S383" s="43"/>
    </row>
    <row r="384" spans="15:19" s="51" customFormat="1" x14ac:dyDescent="0.25">
      <c r="O384" s="45"/>
      <c r="P384" s="45"/>
      <c r="Q384" s="45"/>
      <c r="R384" s="45"/>
      <c r="S384" s="43"/>
    </row>
    <row r="385" spans="15:19" s="51" customFormat="1" x14ac:dyDescent="0.25">
      <c r="O385" s="45"/>
      <c r="P385" s="45"/>
      <c r="Q385" s="45"/>
      <c r="R385" s="45"/>
      <c r="S385" s="43"/>
    </row>
    <row r="386" spans="15:19" s="51" customFormat="1" x14ac:dyDescent="0.25">
      <c r="O386" s="45"/>
      <c r="P386" s="45"/>
      <c r="Q386" s="45"/>
      <c r="R386" s="45"/>
      <c r="S386" s="43"/>
    </row>
    <row r="387" spans="15:19" s="51" customFormat="1" x14ac:dyDescent="0.25">
      <c r="O387" s="45"/>
      <c r="P387" s="45"/>
      <c r="Q387" s="45"/>
      <c r="R387" s="45"/>
      <c r="S387" s="43"/>
    </row>
    <row r="388" spans="15:19" s="51" customFormat="1" x14ac:dyDescent="0.25">
      <c r="O388" s="45"/>
      <c r="P388" s="45"/>
      <c r="Q388" s="45"/>
      <c r="R388" s="45"/>
      <c r="S388" s="43"/>
    </row>
    <row r="389" spans="15:19" s="51" customFormat="1" x14ac:dyDescent="0.25">
      <c r="O389" s="45"/>
      <c r="P389" s="45"/>
      <c r="Q389" s="45"/>
      <c r="R389" s="45"/>
      <c r="S389" s="43"/>
    </row>
    <row r="390" spans="15:19" s="51" customFormat="1" x14ac:dyDescent="0.25">
      <c r="O390" s="45"/>
      <c r="P390" s="45"/>
      <c r="Q390" s="45"/>
      <c r="R390" s="45"/>
      <c r="S390" s="43"/>
    </row>
    <row r="391" spans="15:19" s="51" customFormat="1" x14ac:dyDescent="0.25">
      <c r="O391" s="45"/>
      <c r="P391" s="45"/>
      <c r="Q391" s="45"/>
      <c r="R391" s="45"/>
      <c r="S391" s="43"/>
    </row>
    <row r="392" spans="15:19" s="51" customFormat="1" x14ac:dyDescent="0.25">
      <c r="O392" s="45"/>
      <c r="P392" s="45"/>
      <c r="Q392" s="45"/>
      <c r="R392" s="45"/>
      <c r="S392" s="43"/>
    </row>
    <row r="393" spans="15:19" s="51" customFormat="1" x14ac:dyDescent="0.25">
      <c r="O393" s="45"/>
      <c r="P393" s="45"/>
      <c r="Q393" s="45"/>
      <c r="R393" s="45"/>
      <c r="S393" s="43"/>
    </row>
    <row r="394" spans="15:19" s="51" customFormat="1" x14ac:dyDescent="0.25">
      <c r="O394" s="45"/>
      <c r="P394" s="45"/>
      <c r="Q394" s="45"/>
      <c r="R394" s="45"/>
      <c r="S394" s="43"/>
    </row>
    <row r="395" spans="15:19" s="51" customFormat="1" x14ac:dyDescent="0.25">
      <c r="O395" s="45"/>
      <c r="P395" s="45"/>
      <c r="Q395" s="45"/>
      <c r="R395" s="45"/>
      <c r="S395" s="43"/>
    </row>
    <row r="396" spans="15:19" s="51" customFormat="1" x14ac:dyDescent="0.25">
      <c r="O396" s="45"/>
      <c r="P396" s="45"/>
      <c r="Q396" s="45"/>
      <c r="R396" s="45"/>
      <c r="S396" s="43"/>
    </row>
    <row r="397" spans="15:19" s="51" customFormat="1" x14ac:dyDescent="0.25">
      <c r="O397" s="45"/>
      <c r="P397" s="45"/>
      <c r="Q397" s="45"/>
      <c r="R397" s="45"/>
      <c r="S397" s="43"/>
    </row>
    <row r="398" spans="15:19" s="51" customFormat="1" x14ac:dyDescent="0.25">
      <c r="O398" s="45"/>
      <c r="P398" s="45"/>
      <c r="Q398" s="45"/>
      <c r="R398" s="45"/>
      <c r="S398" s="43"/>
    </row>
    <row r="399" spans="15:19" s="51" customFormat="1" x14ac:dyDescent="0.25">
      <c r="O399" s="45"/>
      <c r="P399" s="45"/>
      <c r="Q399" s="45"/>
      <c r="R399" s="45"/>
      <c r="S399" s="43"/>
    </row>
    <row r="400" spans="15:19" s="51" customFormat="1" x14ac:dyDescent="0.25">
      <c r="O400" s="45"/>
      <c r="P400" s="45"/>
      <c r="Q400" s="45"/>
      <c r="R400" s="45"/>
      <c r="S400" s="43"/>
    </row>
    <row r="401" spans="15:19" s="51" customFormat="1" x14ac:dyDescent="0.25">
      <c r="O401" s="45"/>
      <c r="P401" s="45"/>
      <c r="Q401" s="45"/>
      <c r="R401" s="45"/>
      <c r="S401" s="43"/>
    </row>
    <row r="402" spans="15:19" s="51" customFormat="1" x14ac:dyDescent="0.25">
      <c r="O402" s="45"/>
      <c r="P402" s="45"/>
      <c r="Q402" s="45"/>
      <c r="R402" s="45"/>
      <c r="S402" s="43"/>
    </row>
    <row r="403" spans="15:19" s="51" customFormat="1" x14ac:dyDescent="0.25">
      <c r="O403" s="45"/>
      <c r="P403" s="45"/>
      <c r="Q403" s="45"/>
      <c r="R403" s="45"/>
      <c r="S403" s="43"/>
    </row>
    <row r="404" spans="15:19" s="51" customFormat="1" x14ac:dyDescent="0.25">
      <c r="O404" s="45"/>
      <c r="P404" s="45"/>
      <c r="Q404" s="45"/>
      <c r="R404" s="45"/>
      <c r="S404" s="43"/>
    </row>
    <row r="405" spans="15:19" s="51" customFormat="1" x14ac:dyDescent="0.25">
      <c r="O405" s="45"/>
      <c r="P405" s="45"/>
      <c r="Q405" s="45"/>
      <c r="R405" s="45"/>
      <c r="S405" s="43"/>
    </row>
    <row r="406" spans="15:19" s="51" customFormat="1" x14ac:dyDescent="0.25">
      <c r="O406" s="45"/>
      <c r="P406" s="45"/>
      <c r="Q406" s="45"/>
      <c r="R406" s="45"/>
      <c r="S406" s="43"/>
    </row>
    <row r="407" spans="15:19" s="51" customFormat="1" x14ac:dyDescent="0.25">
      <c r="O407" s="45"/>
      <c r="P407" s="45"/>
      <c r="Q407" s="45"/>
      <c r="R407" s="45"/>
      <c r="S407" s="43"/>
    </row>
    <row r="408" spans="15:19" s="51" customFormat="1" x14ac:dyDescent="0.25">
      <c r="O408" s="45"/>
      <c r="P408" s="45"/>
      <c r="Q408" s="45"/>
      <c r="R408" s="45"/>
      <c r="S408" s="43"/>
    </row>
    <row r="409" spans="15:19" s="51" customFormat="1" x14ac:dyDescent="0.25">
      <c r="O409" s="45"/>
      <c r="P409" s="45"/>
      <c r="Q409" s="45"/>
      <c r="R409" s="45"/>
      <c r="S409" s="43"/>
    </row>
    <row r="410" spans="15:19" s="51" customFormat="1" x14ac:dyDescent="0.25">
      <c r="O410" s="45"/>
      <c r="P410" s="45"/>
      <c r="Q410" s="45"/>
      <c r="R410" s="45"/>
      <c r="S410" s="43"/>
    </row>
    <row r="411" spans="15:19" s="51" customFormat="1" x14ac:dyDescent="0.25">
      <c r="O411" s="45"/>
      <c r="P411" s="45"/>
      <c r="Q411" s="45"/>
      <c r="R411" s="45"/>
      <c r="S411" s="43"/>
    </row>
    <row r="412" spans="15:19" s="51" customFormat="1" x14ac:dyDescent="0.25">
      <c r="O412" s="45"/>
      <c r="P412" s="45"/>
      <c r="Q412" s="45"/>
      <c r="R412" s="45"/>
      <c r="S412" s="43"/>
    </row>
    <row r="413" spans="15:19" s="51" customFormat="1" x14ac:dyDescent="0.25">
      <c r="O413" s="45"/>
      <c r="P413" s="45"/>
      <c r="Q413" s="45"/>
      <c r="R413" s="45"/>
      <c r="S413" s="43"/>
    </row>
    <row r="414" spans="15:19" s="51" customFormat="1" x14ac:dyDescent="0.25">
      <c r="O414" s="45"/>
      <c r="P414" s="45"/>
      <c r="Q414" s="45"/>
      <c r="R414" s="45"/>
      <c r="S414" s="43"/>
    </row>
    <row r="415" spans="15:19" s="51" customFormat="1" x14ac:dyDescent="0.25">
      <c r="O415" s="45"/>
      <c r="P415" s="45"/>
      <c r="Q415" s="45"/>
      <c r="R415" s="45"/>
      <c r="S415" s="43"/>
    </row>
    <row r="416" spans="15:19" s="51" customFormat="1" x14ac:dyDescent="0.25">
      <c r="O416" s="45"/>
      <c r="P416" s="45"/>
      <c r="Q416" s="45"/>
      <c r="R416" s="45"/>
      <c r="S416" s="43"/>
    </row>
    <row r="417" spans="15:19" s="51" customFormat="1" x14ac:dyDescent="0.25">
      <c r="O417" s="45"/>
      <c r="P417" s="45"/>
      <c r="Q417" s="45"/>
      <c r="R417" s="45"/>
      <c r="S417" s="43"/>
    </row>
    <row r="418" spans="15:19" s="51" customFormat="1" x14ac:dyDescent="0.25">
      <c r="O418" s="45"/>
      <c r="P418" s="45"/>
      <c r="Q418" s="45"/>
      <c r="R418" s="45"/>
      <c r="S418" s="43"/>
    </row>
    <row r="419" spans="15:19" s="51" customFormat="1" x14ac:dyDescent="0.25">
      <c r="O419" s="45"/>
      <c r="P419" s="45"/>
      <c r="Q419" s="45"/>
      <c r="R419" s="45"/>
      <c r="S419" s="43"/>
    </row>
    <row r="420" spans="15:19" s="51" customFormat="1" x14ac:dyDescent="0.25">
      <c r="O420" s="45"/>
      <c r="P420" s="45"/>
      <c r="Q420" s="45"/>
      <c r="R420" s="45"/>
      <c r="S420" s="43"/>
    </row>
    <row r="421" spans="15:19" s="51" customFormat="1" x14ac:dyDescent="0.25">
      <c r="O421" s="45"/>
      <c r="P421" s="45"/>
      <c r="Q421" s="45"/>
      <c r="R421" s="45"/>
      <c r="S421" s="43"/>
    </row>
    <row r="422" spans="15:19" s="51" customFormat="1" x14ac:dyDescent="0.25">
      <c r="O422" s="45"/>
      <c r="P422" s="45"/>
      <c r="Q422" s="45"/>
      <c r="R422" s="45"/>
      <c r="S422" s="43"/>
    </row>
    <row r="423" spans="15:19" s="51" customFormat="1" x14ac:dyDescent="0.25">
      <c r="O423" s="45"/>
      <c r="P423" s="45"/>
      <c r="Q423" s="45"/>
      <c r="R423" s="45"/>
      <c r="S423" s="43"/>
    </row>
    <row r="424" spans="15:19" s="51" customFormat="1" x14ac:dyDescent="0.25">
      <c r="O424" s="45"/>
      <c r="P424" s="45"/>
      <c r="Q424" s="45"/>
      <c r="R424" s="45"/>
      <c r="S424" s="43"/>
    </row>
    <row r="425" spans="15:19" s="51" customFormat="1" x14ac:dyDescent="0.25">
      <c r="O425" s="45"/>
      <c r="P425" s="45"/>
      <c r="Q425" s="45"/>
      <c r="R425" s="45"/>
      <c r="S425" s="43"/>
    </row>
    <row r="426" spans="15:19" s="51" customFormat="1" x14ac:dyDescent="0.25">
      <c r="O426" s="45"/>
      <c r="P426" s="45"/>
      <c r="Q426" s="45"/>
      <c r="R426" s="45"/>
      <c r="S426" s="43"/>
    </row>
    <row r="427" spans="15:19" s="51" customFormat="1" x14ac:dyDescent="0.25">
      <c r="O427" s="45"/>
      <c r="P427" s="45"/>
      <c r="Q427" s="45"/>
      <c r="R427" s="45"/>
      <c r="S427" s="43"/>
    </row>
    <row r="428" spans="15:19" s="51" customFormat="1" x14ac:dyDescent="0.25">
      <c r="O428" s="45"/>
      <c r="P428" s="45"/>
      <c r="Q428" s="45"/>
      <c r="R428" s="45"/>
      <c r="S428" s="43"/>
    </row>
    <row r="429" spans="15:19" s="51" customFormat="1" x14ac:dyDescent="0.25">
      <c r="O429" s="45"/>
      <c r="P429" s="45"/>
      <c r="Q429" s="45"/>
      <c r="R429" s="45"/>
      <c r="S429" s="43"/>
    </row>
    <row r="430" spans="15:19" s="51" customFormat="1" x14ac:dyDescent="0.25">
      <c r="O430" s="45"/>
      <c r="P430" s="45"/>
      <c r="Q430" s="45"/>
      <c r="R430" s="45"/>
      <c r="S430" s="43"/>
    </row>
    <row r="431" spans="15:19" s="51" customFormat="1" x14ac:dyDescent="0.25">
      <c r="O431" s="45"/>
      <c r="P431" s="45"/>
      <c r="Q431" s="45"/>
      <c r="R431" s="45"/>
      <c r="S431" s="43"/>
    </row>
    <row r="432" spans="15:19" s="51" customFormat="1" x14ac:dyDescent="0.25">
      <c r="O432" s="45"/>
      <c r="P432" s="45"/>
      <c r="Q432" s="45"/>
      <c r="R432" s="45"/>
      <c r="S432" s="43"/>
    </row>
    <row r="433" spans="15:19" s="51" customFormat="1" x14ac:dyDescent="0.25">
      <c r="O433" s="45"/>
      <c r="P433" s="45"/>
      <c r="Q433" s="45"/>
      <c r="R433" s="45"/>
      <c r="S433" s="43"/>
    </row>
    <row r="434" spans="15:19" s="51" customFormat="1" x14ac:dyDescent="0.25">
      <c r="O434" s="45"/>
      <c r="P434" s="45"/>
      <c r="Q434" s="45"/>
      <c r="R434" s="45"/>
      <c r="S434" s="43"/>
    </row>
    <row r="435" spans="15:19" s="51" customFormat="1" x14ac:dyDescent="0.25">
      <c r="O435" s="45"/>
      <c r="P435" s="45"/>
      <c r="Q435" s="45"/>
      <c r="R435" s="45"/>
      <c r="S435" s="43"/>
    </row>
    <row r="436" spans="15:19" s="51" customFormat="1" x14ac:dyDescent="0.25">
      <c r="O436" s="45"/>
      <c r="P436" s="45"/>
      <c r="Q436" s="45"/>
      <c r="R436" s="45"/>
      <c r="S436" s="43"/>
    </row>
    <row r="437" spans="15:19" s="51" customFormat="1" x14ac:dyDescent="0.25">
      <c r="O437" s="45"/>
      <c r="P437" s="45"/>
      <c r="Q437" s="45"/>
      <c r="R437" s="45"/>
      <c r="S437" s="43"/>
    </row>
    <row r="438" spans="15:19" s="51" customFormat="1" x14ac:dyDescent="0.25">
      <c r="O438" s="45"/>
      <c r="P438" s="45"/>
      <c r="Q438" s="45"/>
      <c r="R438" s="45"/>
      <c r="S438" s="43"/>
    </row>
    <row r="439" spans="15:19" s="51" customFormat="1" x14ac:dyDescent="0.25">
      <c r="O439" s="45"/>
      <c r="P439" s="45"/>
      <c r="Q439" s="45"/>
      <c r="R439" s="45"/>
      <c r="S439" s="43"/>
    </row>
    <row r="440" spans="15:19" s="51" customFormat="1" x14ac:dyDescent="0.25">
      <c r="O440" s="45"/>
      <c r="P440" s="45"/>
      <c r="Q440" s="45"/>
      <c r="R440" s="45"/>
      <c r="S440" s="43"/>
    </row>
    <row r="441" spans="15:19" s="51" customFormat="1" x14ac:dyDescent="0.25">
      <c r="O441" s="45"/>
      <c r="P441" s="45"/>
      <c r="Q441" s="45"/>
      <c r="R441" s="45"/>
      <c r="S441" s="43"/>
    </row>
    <row r="442" spans="15:19" s="51" customFormat="1" x14ac:dyDescent="0.25">
      <c r="O442" s="45"/>
      <c r="P442" s="45"/>
      <c r="Q442" s="45"/>
      <c r="R442" s="45"/>
      <c r="S442" s="43"/>
    </row>
    <row r="443" spans="15:19" s="51" customFormat="1" x14ac:dyDescent="0.25">
      <c r="O443" s="45"/>
      <c r="P443" s="45"/>
      <c r="Q443" s="45"/>
      <c r="R443" s="45"/>
      <c r="S443" s="43"/>
    </row>
  </sheetData>
  <mergeCells count="25">
    <mergeCell ref="Z5:Z7"/>
    <mergeCell ref="A28:F28"/>
    <mergeCell ref="Z28:AB28"/>
    <mergeCell ref="A25:F25"/>
    <mergeCell ref="H22:L22"/>
    <mergeCell ref="M22:Y22"/>
    <mergeCell ref="Z24:AB24"/>
    <mergeCell ref="H21:L21"/>
    <mergeCell ref="M21:Y21"/>
    <mergeCell ref="I4:I5"/>
    <mergeCell ref="J4:J5"/>
    <mergeCell ref="K4:K5"/>
    <mergeCell ref="L4:L5"/>
    <mergeCell ref="M4:Q4"/>
    <mergeCell ref="R4:U4"/>
    <mergeCell ref="V4:V5"/>
    <mergeCell ref="W4:W5"/>
    <mergeCell ref="X4:X5"/>
    <mergeCell ref="Y4:Y5"/>
    <mergeCell ref="V3:Y3"/>
    <mergeCell ref="A4:A5"/>
    <mergeCell ref="B4:B5"/>
    <mergeCell ref="C4:C5"/>
    <mergeCell ref="D4:D5"/>
    <mergeCell ref="E4:H4"/>
  </mergeCells>
  <phoneticPr fontId="4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Email</vt:lpstr>
      <vt:lpstr>Inbox</vt:lpstr>
      <vt:lpstr>Data</vt:lpstr>
      <vt:lpstr>BangLuong</vt:lpstr>
      <vt:lpstr>PhieuLuong</vt:lpstr>
      <vt:lpstr>Msgbox</vt:lpstr>
      <vt:lpstr>Mau1</vt:lpstr>
      <vt:lpstr>KhongThanhCong</vt:lpstr>
      <vt:lpstr>PhieuLuong!Print_Area</vt:lpstr>
      <vt:lpstr>ThanhCong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LENGOC</dc:creator>
  <cp:lastModifiedBy>LENGOC</cp:lastModifiedBy>
  <cp:lastPrinted>2020-11-19T10:18:05Z</cp:lastPrinted>
  <dcterms:created xsi:type="dcterms:W3CDTF">2020-06-26T02:31:08Z</dcterms:created>
  <dcterms:modified xsi:type="dcterms:W3CDTF">2020-11-20T08:38:24Z</dcterms:modified>
</cp:coreProperties>
</file>